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1471691-425B-4F6E-8441-A0D06E29C1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프로젝트 시간 표시 막대" sheetId="1" r:id="rId1"/>
  </sheets>
  <definedNames>
    <definedName name="_xlnm.Print_Titles" localSheetId="0">'프로젝트 시간 표시 막대'!$4:$6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6" i="1" l="1"/>
  <c r="C4" i="1" s="1"/>
  <c r="D6" i="1" l="1"/>
  <c r="D4" i="1" s="1"/>
  <c r="C5" i="1"/>
  <c r="E6" i="1" l="1"/>
  <c r="E4" i="1" s="1"/>
  <c r="D5" i="1"/>
  <c r="E5" i="1" l="1"/>
  <c r="F6" i="1"/>
  <c r="F4" i="1" s="1"/>
  <c r="F5" i="1" l="1"/>
  <c r="G6" i="1"/>
  <c r="G4" i="1" s="1"/>
  <c r="G5" i="1" l="1"/>
  <c r="H6" i="1"/>
  <c r="H4" i="1" s="1"/>
  <c r="H5" i="1" l="1"/>
  <c r="I6" i="1"/>
  <c r="I4" i="1" s="1"/>
  <c r="I5" i="1" l="1"/>
  <c r="J6" i="1"/>
  <c r="J4" i="1" s="1"/>
  <c r="J5" i="1" l="1"/>
  <c r="K6" i="1"/>
  <c r="K4" i="1" s="1"/>
  <c r="K5" i="1" l="1"/>
  <c r="L6" i="1"/>
  <c r="L4" i="1" s="1"/>
  <c r="M6" i="1" l="1"/>
  <c r="M4" i="1" s="1"/>
  <c r="L5" i="1"/>
  <c r="M5" i="1" l="1"/>
  <c r="N6" i="1"/>
  <c r="N4" i="1" s="1"/>
  <c r="O6" i="1" l="1"/>
  <c r="O4" i="1" s="1"/>
  <c r="N5" i="1"/>
  <c r="O5" i="1" l="1"/>
  <c r="P6" i="1"/>
  <c r="P4" i="1" s="1"/>
  <c r="Q6" i="1" l="1"/>
  <c r="Q4" i="1" s="1"/>
  <c r="P5" i="1"/>
  <c r="Q5" i="1" l="1"/>
  <c r="R6" i="1"/>
  <c r="R4" i="1" s="1"/>
  <c r="R5" i="1" l="1"/>
  <c r="S6" i="1"/>
  <c r="S4" i="1" s="1"/>
  <c r="S5" i="1" l="1"/>
  <c r="T6" i="1"/>
  <c r="T4" i="1" s="1"/>
  <c r="T5" i="1" l="1"/>
  <c r="U6" i="1"/>
  <c r="U4" i="1" s="1"/>
  <c r="U5" i="1" l="1"/>
  <c r="V6" i="1"/>
  <c r="V4" i="1" s="1"/>
  <c r="V5" i="1" l="1"/>
  <c r="W6" i="1"/>
  <c r="W4" i="1" s="1"/>
  <c r="W5" i="1" l="1"/>
  <c r="X6" i="1"/>
  <c r="X4" i="1" s="1"/>
  <c r="X5" i="1" l="1"/>
  <c r="Y6" i="1"/>
  <c r="Y4" i="1" s="1"/>
  <c r="Y5" i="1" l="1"/>
  <c r="Z6" i="1"/>
  <c r="Z4" i="1" s="1"/>
  <c r="AA6" i="1" l="1"/>
  <c r="AA4" i="1" s="1"/>
  <c r="Z5" i="1"/>
  <c r="AA5" i="1" l="1"/>
  <c r="AB6" i="1"/>
  <c r="AB4" i="1" s="1"/>
  <c r="AC6" i="1" l="1"/>
  <c r="AB5" i="1"/>
  <c r="AC4" i="1" l="1"/>
  <c r="AD6" i="1"/>
  <c r="C13" i="1" s="1"/>
  <c r="AC5" i="1"/>
  <c r="C12" i="1" l="1"/>
  <c r="C11" i="1"/>
  <c r="D13" i="1"/>
  <c r="AD4" i="1"/>
  <c r="AD5" i="1"/>
  <c r="D11" i="1" l="1"/>
  <c r="D12" i="1"/>
  <c r="E13" i="1"/>
  <c r="E12" i="1" l="1"/>
  <c r="E11" i="1"/>
  <c r="F13" i="1"/>
  <c r="F12" i="1" l="1"/>
  <c r="G13" i="1"/>
  <c r="F11" i="1"/>
  <c r="H13" i="1" l="1"/>
  <c r="G11" i="1"/>
  <c r="G12" i="1"/>
  <c r="H12" i="1" l="1"/>
  <c r="I13" i="1"/>
  <c r="H11" i="1"/>
  <c r="I11" i="1" l="1"/>
  <c r="J13" i="1"/>
  <c r="I12" i="1"/>
  <c r="K13" i="1" l="1"/>
  <c r="J12" i="1"/>
  <c r="J11" i="1"/>
  <c r="L13" i="1" l="1"/>
  <c r="K11" i="1"/>
  <c r="K12" i="1"/>
  <c r="M13" i="1" l="1"/>
  <c r="L11" i="1"/>
  <c r="L12" i="1"/>
  <c r="N13" i="1" l="1"/>
  <c r="M12" i="1"/>
  <c r="M11" i="1"/>
  <c r="N11" i="1" l="1"/>
  <c r="N12" i="1"/>
  <c r="O13" i="1"/>
  <c r="O12" i="1" l="1"/>
  <c r="P13" i="1"/>
  <c r="O11" i="1"/>
  <c r="P11" i="1" l="1"/>
  <c r="P12" i="1"/>
  <c r="Q13" i="1"/>
  <c r="Q12" i="1" l="1"/>
  <c r="Q11" i="1"/>
  <c r="R13" i="1"/>
  <c r="R12" i="1" l="1"/>
  <c r="S13" i="1"/>
  <c r="R11" i="1"/>
  <c r="T13" i="1" l="1"/>
  <c r="S12" i="1"/>
  <c r="S11" i="1"/>
  <c r="T11" i="1" l="1"/>
  <c r="T12" i="1"/>
  <c r="U13" i="1"/>
  <c r="U12" i="1" l="1"/>
  <c r="U11" i="1"/>
  <c r="V13" i="1"/>
  <c r="W13" i="1" l="1"/>
  <c r="V11" i="1"/>
  <c r="V12" i="1"/>
  <c r="X13" i="1" l="1"/>
  <c r="W11" i="1"/>
  <c r="W12" i="1"/>
  <c r="Y13" i="1" l="1"/>
  <c r="X11" i="1"/>
  <c r="X12" i="1"/>
  <c r="Y12" i="1" l="1"/>
  <c r="Z13" i="1"/>
  <c r="Y11" i="1"/>
  <c r="Z12" i="1" l="1"/>
  <c r="Z11" i="1"/>
  <c r="AA13" i="1"/>
  <c r="AA12" i="1" l="1"/>
  <c r="AA11" i="1"/>
  <c r="AB13" i="1"/>
  <c r="AC13" i="1" l="1"/>
  <c r="AB11" i="1"/>
  <c r="AB12" i="1"/>
  <c r="AC12" i="1" l="1"/>
  <c r="AD13" i="1"/>
  <c r="AC11" i="1"/>
  <c r="C19" i="1" l="1"/>
  <c r="AD11" i="1"/>
  <c r="AD12" i="1"/>
  <c r="D19" i="1" l="1"/>
  <c r="C17" i="1"/>
  <c r="C18" i="1"/>
  <c r="D17" i="1" l="1"/>
  <c r="E19" i="1"/>
  <c r="D18" i="1"/>
  <c r="E18" i="1" l="1"/>
  <c r="E17" i="1"/>
  <c r="F19" i="1"/>
  <c r="F17" i="1" l="1"/>
  <c r="G19" i="1"/>
  <c r="F18" i="1"/>
  <c r="H19" i="1" l="1"/>
  <c r="G17" i="1"/>
  <c r="G18" i="1"/>
  <c r="H17" i="1" l="1"/>
  <c r="I19" i="1"/>
  <c r="H18" i="1"/>
  <c r="I17" i="1" l="1"/>
  <c r="J19" i="1"/>
  <c r="I18" i="1"/>
  <c r="K19" i="1" l="1"/>
  <c r="J18" i="1"/>
  <c r="J17" i="1"/>
  <c r="L19" i="1" l="1"/>
  <c r="K18" i="1"/>
  <c r="K17" i="1"/>
  <c r="M19" i="1" l="1"/>
  <c r="L18" i="1"/>
  <c r="L17" i="1"/>
  <c r="M18" i="1" l="1"/>
  <c r="N19" i="1"/>
  <c r="M17" i="1"/>
  <c r="N18" i="1" l="1"/>
  <c r="O19" i="1"/>
  <c r="N17" i="1"/>
  <c r="O18" i="1" l="1"/>
  <c r="P19" i="1"/>
  <c r="O17" i="1"/>
  <c r="P18" i="1" l="1"/>
  <c r="Q19" i="1"/>
  <c r="P17" i="1"/>
  <c r="Q18" i="1" l="1"/>
  <c r="Q17" i="1"/>
  <c r="R19" i="1"/>
  <c r="R17" i="1" l="1"/>
  <c r="R18" i="1"/>
  <c r="S19" i="1"/>
  <c r="S17" i="1" l="1"/>
  <c r="S18" i="1"/>
  <c r="T19" i="1"/>
  <c r="U19" i="1" l="1"/>
  <c r="T17" i="1"/>
  <c r="T18" i="1"/>
  <c r="U17" i="1" l="1"/>
  <c r="V19" i="1"/>
  <c r="U18" i="1"/>
  <c r="W19" i="1" l="1"/>
  <c r="V17" i="1"/>
  <c r="V18" i="1"/>
  <c r="X19" i="1" l="1"/>
  <c r="W18" i="1"/>
  <c r="W17" i="1"/>
  <c r="Y19" i="1" l="1"/>
  <c r="X18" i="1"/>
  <c r="X17" i="1"/>
  <c r="Y18" i="1" l="1"/>
  <c r="Y17" i="1"/>
  <c r="Z19" i="1"/>
  <c r="Z17" i="1" l="1"/>
  <c r="Z18" i="1"/>
  <c r="AA19" i="1"/>
  <c r="AA18" i="1" l="1"/>
  <c r="AA17" i="1"/>
  <c r="AB19" i="1"/>
  <c r="AB18" i="1" l="1"/>
  <c r="AB17" i="1"/>
  <c r="AC19" i="1"/>
  <c r="AC17" i="1" l="1"/>
  <c r="AD19" i="1"/>
  <c r="AC18" i="1"/>
  <c r="C25" i="1" l="1"/>
  <c r="AD18" i="1"/>
  <c r="AD17" i="1"/>
  <c r="C24" i="1" l="1"/>
  <c r="D25" i="1"/>
  <c r="C23" i="1"/>
  <c r="D24" i="1" l="1"/>
  <c r="D23" i="1"/>
  <c r="E25" i="1"/>
  <c r="E23" i="1" l="1"/>
  <c r="E24" i="1"/>
  <c r="F25" i="1"/>
  <c r="F23" i="1" l="1"/>
  <c r="F24" i="1"/>
  <c r="G25" i="1"/>
  <c r="G24" i="1" l="1"/>
  <c r="H25" i="1"/>
  <c r="G23" i="1"/>
  <c r="I25" i="1" l="1"/>
  <c r="H24" i="1"/>
  <c r="H23" i="1"/>
  <c r="I23" i="1" l="1"/>
  <c r="J25" i="1"/>
  <c r="I24" i="1"/>
  <c r="K25" i="1" l="1"/>
  <c r="J23" i="1"/>
  <c r="J24" i="1"/>
  <c r="K23" i="1" l="1"/>
  <c r="K24" i="1"/>
  <c r="L25" i="1"/>
  <c r="M25" i="1" l="1"/>
  <c r="L24" i="1"/>
  <c r="L23" i="1"/>
  <c r="M24" i="1" l="1"/>
  <c r="N25" i="1"/>
  <c r="M23" i="1"/>
  <c r="O25" i="1" l="1"/>
  <c r="N24" i="1"/>
  <c r="N23" i="1"/>
  <c r="O24" i="1" l="1"/>
  <c r="P25" i="1"/>
  <c r="O23" i="1"/>
  <c r="P23" i="1" l="1"/>
  <c r="P24" i="1"/>
  <c r="Q25" i="1"/>
  <c r="R25" i="1" l="1"/>
  <c r="Q23" i="1"/>
  <c r="Q24" i="1"/>
  <c r="S25" i="1" l="1"/>
  <c r="R24" i="1"/>
  <c r="R23" i="1"/>
  <c r="S23" i="1" l="1"/>
  <c r="S24" i="1"/>
  <c r="T25" i="1"/>
  <c r="T23" i="1" l="1"/>
  <c r="T24" i="1"/>
  <c r="U25" i="1"/>
  <c r="V25" i="1" l="1"/>
  <c r="U24" i="1"/>
  <c r="U23" i="1"/>
  <c r="V24" i="1" l="1"/>
  <c r="V23" i="1"/>
  <c r="W25" i="1"/>
  <c r="X25" i="1" l="1"/>
  <c r="W24" i="1"/>
  <c r="W23" i="1"/>
  <c r="X24" i="1" l="1"/>
  <c r="X23" i="1"/>
  <c r="Y25" i="1"/>
  <c r="Y24" i="1" l="1"/>
  <c r="Z25" i="1"/>
  <c r="Y23" i="1"/>
  <c r="Z23" i="1" l="1"/>
  <c r="AA25" i="1"/>
  <c r="Z24" i="1"/>
  <c r="AA24" i="1" l="1"/>
  <c r="AB25" i="1"/>
  <c r="AA23" i="1"/>
  <c r="AB24" i="1" l="1"/>
  <c r="AC25" i="1"/>
  <c r="AB23" i="1"/>
  <c r="AC24" i="1" l="1"/>
  <c r="AC23" i="1"/>
  <c r="AD25" i="1"/>
  <c r="C31" i="1" l="1"/>
  <c r="AD23" i="1"/>
  <c r="AD24" i="1"/>
  <c r="D31" i="1" l="1"/>
  <c r="C29" i="1"/>
  <c r="C30" i="1"/>
  <c r="D30" i="1" l="1"/>
  <c r="E31" i="1"/>
  <c r="D29" i="1"/>
  <c r="E30" i="1" l="1"/>
  <c r="F31" i="1"/>
  <c r="E29" i="1"/>
  <c r="F29" i="1" l="1"/>
  <c r="G31" i="1"/>
  <c r="F30" i="1"/>
  <c r="G29" i="1" l="1"/>
  <c r="H31" i="1"/>
  <c r="G30" i="1"/>
  <c r="I31" i="1" l="1"/>
  <c r="H29" i="1"/>
  <c r="H30" i="1"/>
  <c r="I29" i="1" l="1"/>
  <c r="I30" i="1"/>
  <c r="J31" i="1"/>
  <c r="K31" i="1" l="1"/>
  <c r="J30" i="1"/>
  <c r="J29" i="1"/>
  <c r="L31" i="1" l="1"/>
  <c r="K29" i="1"/>
  <c r="K30" i="1"/>
  <c r="L29" i="1" l="1"/>
  <c r="M31" i="1"/>
  <c r="L30" i="1"/>
  <c r="N31" i="1" l="1"/>
  <c r="M30" i="1"/>
  <c r="M29" i="1"/>
  <c r="N30" i="1" l="1"/>
  <c r="N29" i="1"/>
  <c r="O31" i="1"/>
  <c r="O29" i="1" l="1"/>
  <c r="O30" i="1"/>
  <c r="P31" i="1"/>
  <c r="P29" i="1" l="1"/>
  <c r="Q31" i="1"/>
  <c r="P30" i="1"/>
  <c r="Q30" i="1" l="1"/>
  <c r="Q29" i="1"/>
  <c r="R31" i="1"/>
  <c r="R29" i="1" l="1"/>
  <c r="S31" i="1"/>
  <c r="R30" i="1"/>
  <c r="S30" i="1" l="1"/>
  <c r="T31" i="1"/>
  <c r="S29" i="1"/>
  <c r="T29" i="1" l="1"/>
  <c r="T30" i="1"/>
  <c r="U31" i="1"/>
  <c r="V31" i="1" l="1"/>
  <c r="U29" i="1"/>
  <c r="U30" i="1"/>
  <c r="W31" i="1" l="1"/>
  <c r="V29" i="1"/>
  <c r="V30" i="1"/>
  <c r="X31" i="1" l="1"/>
  <c r="W29" i="1"/>
  <c r="W30" i="1"/>
  <c r="X29" i="1" l="1"/>
  <c r="X30" i="1"/>
  <c r="Y31" i="1"/>
  <c r="Z31" i="1" l="1"/>
  <c r="Y29" i="1"/>
  <c r="Y30" i="1"/>
  <c r="AA31" i="1" l="1"/>
  <c r="Z30" i="1"/>
  <c r="Z29" i="1"/>
  <c r="AA29" i="1" l="1"/>
  <c r="AB31" i="1"/>
  <c r="AA30" i="1"/>
  <c r="AB30" i="1" l="1"/>
  <c r="AC31" i="1"/>
  <c r="AB29" i="1"/>
  <c r="AD31" i="1" l="1"/>
  <c r="AC30" i="1"/>
  <c r="AC29" i="1"/>
  <c r="AD30" i="1" l="1"/>
  <c r="AD29" i="1"/>
</calcChain>
</file>

<file path=xl/sharedStrings.xml><?xml version="1.0" encoding="utf-8"?>
<sst xmlns="http://schemas.openxmlformats.org/spreadsheetml/2006/main" count="47" uniqueCount="30">
  <si>
    <t xml:space="preserve"> 시작 날짜:</t>
  </si>
  <si>
    <t>졸업작품 제안서 발표 계획서</t>
    <phoneticPr fontId="20" type="noConversion"/>
  </si>
  <si>
    <t>오승원</t>
    <phoneticPr fontId="20" type="noConversion"/>
  </si>
  <si>
    <t>윤재형</t>
    <phoneticPr fontId="20" type="noConversion"/>
  </si>
  <si>
    <t>이동주</t>
    <phoneticPr fontId="20" type="noConversion"/>
  </si>
  <si>
    <t>담당자:이횽규</t>
    <phoneticPr fontId="20" type="noConversion"/>
  </si>
  <si>
    <t>메인 캐릭터 레퍼런스 및 설정 기획</t>
    <phoneticPr fontId="20" type="noConversion"/>
  </si>
  <si>
    <t>애니메이션 Instancing 구조 생각하기</t>
    <phoneticPr fontId="20" type="noConversion"/>
  </si>
  <si>
    <t>TCP/IP 서버 공부하기</t>
    <phoneticPr fontId="20" type="noConversion"/>
  </si>
  <si>
    <t>파티클 VFX 구현 방법 고안</t>
    <phoneticPr fontId="20" type="noConversion"/>
  </si>
  <si>
    <t>Pytorch 공부(Ai 딥러닝 프레임워크)</t>
    <phoneticPr fontId="20" type="noConversion"/>
  </si>
  <si>
    <t>인공지능 신경망 짜기</t>
    <phoneticPr fontId="20" type="noConversion"/>
  </si>
  <si>
    <t>프레임워크 생산성 향상</t>
    <phoneticPr fontId="20" type="noConversion"/>
  </si>
  <si>
    <t>캐릭터 모델링(기타)</t>
    <phoneticPr fontId="20" type="noConversion"/>
  </si>
  <si>
    <t>캐릭터 모델링(베이스)</t>
    <phoneticPr fontId="20" type="noConversion"/>
  </si>
  <si>
    <t>캐릭터 모델링(드럼)</t>
    <phoneticPr fontId="20" type="noConversion"/>
  </si>
  <si>
    <t>졸업 작품 게임 기획 구체화 및 모델링 보완</t>
    <phoneticPr fontId="20" type="noConversion"/>
  </si>
  <si>
    <t>레벨 디자인</t>
    <phoneticPr fontId="20" type="noConversion"/>
  </si>
  <si>
    <t>보스 디자인 및 모델링</t>
    <phoneticPr fontId="20" type="noConversion"/>
  </si>
  <si>
    <t>시스템 디자인 및 사운드 이벤트 설계</t>
    <phoneticPr fontId="20" type="noConversion"/>
  </si>
  <si>
    <t>사운드 이벤트 구현 및 시스템 구현</t>
    <phoneticPr fontId="20" type="noConversion"/>
  </si>
  <si>
    <t>애니메이션 제작(캐릭터)</t>
    <phoneticPr fontId="20" type="noConversion"/>
  </si>
  <si>
    <t>애니메이션 제작(보스 및 캐릭터)</t>
    <phoneticPr fontId="20" type="noConversion"/>
  </si>
  <si>
    <t>복습 겸 그동안 부족한 내용 마무리</t>
    <phoneticPr fontId="20" type="noConversion"/>
  </si>
  <si>
    <t>Ai 강화학습</t>
    <phoneticPr fontId="20" type="noConversion"/>
  </si>
  <si>
    <t>DirectX12 공부</t>
    <phoneticPr fontId="20" type="noConversion"/>
  </si>
  <si>
    <t>프로토타입 메인 시스템 제작</t>
    <phoneticPr fontId="20" type="noConversion"/>
  </si>
  <si>
    <t>코드 리팩토링</t>
    <phoneticPr fontId="20" type="noConversion"/>
  </si>
  <si>
    <t>2학기 과목 수강 및 배운 내용 복습</t>
    <phoneticPr fontId="20" type="noConversion"/>
  </si>
  <si>
    <t>DirectX12 애니메이션 구현하기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</si>
</sst>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d"/>
    <numFmt numFmtId="179" formatCode="m&quot;월&quot;"/>
  </numFmts>
  <fonts count="25"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4"/>
      <color theme="1" tint="0.499984740745262"/>
      <name val="Malgun Gothic"/>
      <family val="2"/>
    </font>
    <font>
      <sz val="11"/>
      <color theme="1" tint="0.24994659260841701"/>
      <name val="Malgun Gothic"/>
      <family val="2"/>
    </font>
    <font>
      <sz val="11"/>
      <color theme="1" tint="4.9989318521683403E-2"/>
      <name val="Malgun Gothic"/>
      <family val="2"/>
    </font>
    <font>
      <sz val="12"/>
      <color theme="1" tint="4.9989318521683403E-2"/>
      <name val="Malgun Gothic"/>
      <family val="2"/>
    </font>
    <font>
      <sz val="11"/>
      <color rgb="FF006100"/>
      <name val="Malgun Gothic"/>
      <family val="2"/>
    </font>
    <font>
      <sz val="11"/>
      <color rgb="FF9C0006"/>
      <name val="Malgun Gothic"/>
      <family val="2"/>
    </font>
    <font>
      <b/>
      <sz val="31"/>
      <color theme="9" tint="-0.24994659260841701"/>
      <name val="Malgun Gothic"/>
      <family val="2"/>
    </font>
    <font>
      <sz val="18"/>
      <color theme="1" tint="4.9989318521683403E-2"/>
      <name val="Malgun Gothic"/>
      <family val="2"/>
    </font>
    <font>
      <b/>
      <sz val="11"/>
      <color theme="0"/>
      <name val="Malgun Gothic"/>
      <family val="2"/>
    </font>
    <font>
      <b/>
      <sz val="11"/>
      <color theme="1"/>
      <name val="Malgun Gothic"/>
      <family val="2"/>
    </font>
    <font>
      <sz val="11"/>
      <color theme="0"/>
      <name val="Malgun Gothic"/>
      <family val="2"/>
    </font>
    <font>
      <i/>
      <sz val="11"/>
      <color rgb="FF7F7F7F"/>
      <name val="Malgun Gothic"/>
      <family val="2"/>
    </font>
    <font>
      <sz val="11"/>
      <color rgb="FFFF0000"/>
      <name val="Malgun Gothic"/>
      <family val="2"/>
    </font>
    <font>
      <b/>
      <sz val="11"/>
      <color rgb="FFFA7D00"/>
      <name val="Malgun Gothic"/>
      <family val="2"/>
    </font>
    <font>
      <sz val="11"/>
      <color rgb="FF3F3F76"/>
      <name val="Malgun Gothic"/>
      <family val="2"/>
    </font>
    <font>
      <b/>
      <sz val="11"/>
      <color rgb="FF3F3F3F"/>
      <name val="Malgun Gothic"/>
      <family val="2"/>
    </font>
    <font>
      <sz val="11"/>
      <color rgb="FF9C5700"/>
      <name val="Malgun Gothic"/>
      <family val="2"/>
    </font>
    <font>
      <sz val="11"/>
      <color rgb="FFFA7D00"/>
      <name val="Malgun Gothic"/>
      <family val="2"/>
    </font>
    <font>
      <sz val="8"/>
      <name val="돋움"/>
      <family val="3"/>
      <charset val="129"/>
    </font>
    <font>
      <sz val="11"/>
      <color theme="1" tint="0.24994659260841701"/>
      <name val="Malgun Gothic"/>
      <family val="3"/>
      <charset val="129"/>
    </font>
    <font>
      <sz val="14"/>
      <color theme="1" tint="0.499984740745262"/>
      <name val="Malgun Gothic"/>
      <family val="3"/>
      <charset val="129"/>
    </font>
    <font>
      <sz val="12"/>
      <color theme="1" tint="4.9989318521683403E-2"/>
      <name val="Malgun Gothic"/>
      <family val="3"/>
      <charset val="129"/>
    </font>
    <font>
      <sz val="11"/>
      <color theme="1" tint="4.9989318521683403E-2"/>
      <name val="Malgun Gothic"/>
      <family val="3"/>
      <charset val="129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4F4A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0"/>
      </top>
      <bottom style="thin">
        <color theme="0" tint="-0.14996795556505021"/>
      </bottom>
      <diagonal/>
    </border>
  </borders>
  <cellStyleXfs count="52">
    <xf numFmtId="0" fontId="0" fillId="0" borderId="0">
      <alignment vertical="center" wrapText="1"/>
    </xf>
    <xf numFmtId="0" fontId="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" fillId="7" borderId="0" applyNumberFormat="0" applyAlignment="0" applyProtection="0"/>
    <xf numFmtId="0" fontId="9" fillId="8" borderId="0" applyNumberFormat="0" applyAlignment="0" applyProtection="0"/>
    <xf numFmtId="0" fontId="3" fillId="2" borderId="4" applyNumberFormat="0" applyProtection="0">
      <alignment horizontal="right" wrapText="1" indent="1"/>
    </xf>
    <xf numFmtId="14" fontId="2" fillId="0" borderId="1" applyFill="0">
      <alignment horizontal="center"/>
    </xf>
    <xf numFmtId="0" fontId="4" fillId="0" borderId="0" applyBorder="0">
      <alignment horizontal="left" vertical="center"/>
    </xf>
    <xf numFmtId="178" fontId="4" fillId="0" borderId="3">
      <alignment horizontal="left" vertical="center"/>
    </xf>
    <xf numFmtId="0" fontId="5" fillId="0" borderId="0">
      <alignment horizontal="left" vertical="center"/>
    </xf>
    <xf numFmtId="0" fontId="3" fillId="2" borderId="4">
      <alignment horizontal="left" wrapText="1" indent="1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9" borderId="0" applyNumberFormat="0" applyBorder="0" applyAlignment="0" applyProtection="0"/>
    <xf numFmtId="0" fontId="7" fillId="10" borderId="0" applyNumberFormat="0" applyBorder="0" applyAlignment="0" applyProtection="0"/>
    <xf numFmtId="0" fontId="18" fillId="11" borderId="0" applyNumberFormat="0" applyBorder="0" applyAlignment="0" applyProtection="0"/>
    <xf numFmtId="0" fontId="16" fillId="12" borderId="5" applyNumberFormat="0" applyAlignment="0" applyProtection="0"/>
    <xf numFmtId="0" fontId="17" fillId="13" borderId="6" applyNumberFormat="0" applyAlignment="0" applyProtection="0"/>
    <xf numFmtId="0" fontId="15" fillId="13" borderId="5" applyNumberFormat="0" applyAlignment="0" applyProtection="0"/>
    <xf numFmtId="0" fontId="19" fillId="0" borderId="7" applyNumberFormat="0" applyFill="0" applyAlignment="0" applyProtection="0"/>
    <xf numFmtId="0" fontId="10" fillId="14" borderId="8" applyNumberFormat="0" applyAlignment="0" applyProtection="0"/>
    <xf numFmtId="0" fontId="14" fillId="0" borderId="0" applyNumberFormat="0" applyFill="0" applyBorder="0" applyAlignment="0" applyProtection="0"/>
    <xf numFmtId="0" fontId="3" fillId="15" borderId="9" applyNumberFormat="0" applyFont="0" applyAlignment="0" applyProtection="0"/>
    <xf numFmtId="0" fontId="13" fillId="0" borderId="0" applyNumberFormat="0" applyFill="0" applyBorder="0" applyAlignment="0" applyProtection="0"/>
    <xf numFmtId="0" fontId="11" fillId="0" borderId="10" applyNumberFormat="0" applyFill="0" applyAlignment="0" applyProtection="0"/>
    <xf numFmtId="0" fontId="1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</cellStyleXfs>
  <cellXfs count="38">
    <xf numFmtId="0" fontId="0" fillId="0" borderId="0" xfId="0">
      <alignment vertical="center" wrapText="1"/>
    </xf>
    <xf numFmtId="0" fontId="21" fillId="0" borderId="0" xfId="0" applyFont="1">
      <alignment vertical="center" wrapText="1"/>
    </xf>
    <xf numFmtId="0" fontId="22" fillId="0" borderId="0" xfId="2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 vertical="center" indent="1"/>
    </xf>
    <xf numFmtId="0" fontId="21" fillId="2" borderId="0" xfId="0" applyFont="1" applyFill="1" applyAlignment="1">
      <alignment horizontal="center" vertical="center"/>
    </xf>
    <xf numFmtId="179" fontId="23" fillId="3" borderId="0" xfId="9" applyNumberFormat="1" applyFont="1" applyFill="1">
      <alignment horizontal="left" vertical="center"/>
    </xf>
    <xf numFmtId="0" fontId="23" fillId="3" borderId="0" xfId="9" applyFont="1" applyFill="1">
      <alignment horizontal="left" vertical="center"/>
    </xf>
    <xf numFmtId="0" fontId="23" fillId="4" borderId="0" xfId="9" applyFont="1" applyFill="1">
      <alignment horizontal="left" vertical="center"/>
    </xf>
    <xf numFmtId="0" fontId="24" fillId="3" borderId="0" xfId="7" applyFont="1" applyFill="1">
      <alignment horizontal="left" vertical="center"/>
    </xf>
    <xf numFmtId="0" fontId="24" fillId="4" borderId="0" xfId="7" applyFont="1" applyFill="1">
      <alignment horizontal="left" vertical="center"/>
    </xf>
    <xf numFmtId="178" fontId="24" fillId="3" borderId="3" xfId="8" applyFont="1" applyFill="1">
      <alignment horizontal="left" vertical="center"/>
    </xf>
    <xf numFmtId="178" fontId="24" fillId="4" borderId="3" xfId="8" applyFont="1" applyFill="1">
      <alignment horizontal="left" vertical="center"/>
    </xf>
    <xf numFmtId="0" fontId="21" fillId="2" borderId="4" xfId="5" applyFont="1">
      <alignment horizontal="right" wrapText="1" indent="1"/>
    </xf>
    <xf numFmtId="0" fontId="21" fillId="0" borderId="2" xfId="0" applyFont="1" applyBorder="1" applyAlignment="1">
      <alignment horizontal="left" vertical="center" indent="1"/>
    </xf>
    <xf numFmtId="0" fontId="21" fillId="3" borderId="2" xfId="0" applyFont="1" applyFill="1" applyBorder="1" applyAlignment="1">
      <alignment horizontal="left" vertical="center" indent="1"/>
    </xf>
    <xf numFmtId="0" fontId="21" fillId="2" borderId="3" xfId="0" applyFont="1" applyFill="1" applyBorder="1" applyAlignment="1">
      <alignment horizontal="center" vertical="center"/>
    </xf>
    <xf numFmtId="0" fontId="8" fillId="0" borderId="0" xfId="1" applyAlignment="1">
      <alignment horizontal="left" indent="1"/>
    </xf>
    <xf numFmtId="14" fontId="22" fillId="0" borderId="1" xfId="6" applyFont="1">
      <alignment horizontal="center"/>
    </xf>
    <xf numFmtId="0" fontId="21" fillId="43" borderId="11" xfId="0" applyFont="1" applyFill="1" applyBorder="1" applyAlignment="1">
      <alignment horizontal="center" vertical="center"/>
    </xf>
    <xf numFmtId="0" fontId="21" fillId="41" borderId="2" xfId="0" applyFont="1" applyFill="1" applyBorder="1" applyAlignment="1">
      <alignment horizontal="center" vertical="center"/>
    </xf>
    <xf numFmtId="0" fontId="21" fillId="40" borderId="2" xfId="0" applyFont="1" applyFill="1" applyBorder="1" applyAlignment="1">
      <alignment horizontal="center" vertical="center"/>
    </xf>
    <xf numFmtId="0" fontId="21" fillId="42" borderId="2" xfId="0" applyFont="1" applyFill="1" applyBorder="1" applyAlignment="1">
      <alignment horizontal="center" vertical="center"/>
    </xf>
    <xf numFmtId="0" fontId="21" fillId="44" borderId="2" xfId="0" applyFont="1" applyFill="1" applyBorder="1" applyAlignment="1">
      <alignment horizontal="center" vertical="center"/>
    </xf>
    <xf numFmtId="0" fontId="21" fillId="46" borderId="1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0" fontId="21" fillId="40" borderId="2" xfId="0" quotePrefix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47" borderId="11" xfId="0" applyFont="1" applyFill="1" applyBorder="1" applyAlignment="1">
      <alignment horizontal="center" vertical="center"/>
    </xf>
    <xf numFmtId="0" fontId="21" fillId="48" borderId="11" xfId="0" applyFont="1" applyFill="1" applyBorder="1" applyAlignment="1">
      <alignment horizontal="center" vertical="center"/>
    </xf>
    <xf numFmtId="0" fontId="21" fillId="49" borderId="11" xfId="0" applyFont="1" applyFill="1" applyBorder="1" applyAlignment="1">
      <alignment horizontal="center" vertical="center"/>
    </xf>
    <xf numFmtId="0" fontId="21" fillId="49" borderId="2" xfId="0" applyFont="1" applyFill="1" applyBorder="1" applyAlignment="1">
      <alignment horizontal="center" vertical="center"/>
    </xf>
    <xf numFmtId="0" fontId="21" fillId="50" borderId="2" xfId="0" quotePrefix="1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51" borderId="11" xfId="0" applyFont="1" applyFill="1" applyBorder="1" applyAlignment="1">
      <alignment horizontal="center" vertical="center"/>
    </xf>
  </cellXfs>
  <cellStyles count="52">
    <cellStyle name="20% - 강조색1" xfId="29" builtinId="30" customBuiltin="1"/>
    <cellStyle name="20% - 강조색2" xfId="33" builtinId="34" customBuiltin="1"/>
    <cellStyle name="20% - 강조색3" xfId="37" builtinId="38" customBuiltin="1"/>
    <cellStyle name="20% - 강조색4" xfId="41" builtinId="42" customBuiltin="1"/>
    <cellStyle name="20% - 강조색5" xfId="45" builtinId="46" customBuiltin="1"/>
    <cellStyle name="20% - 강조색6" xfId="49" builtinId="50" customBuiltin="1"/>
    <cellStyle name="40% - 강조색1" xfId="30" builtinId="31" customBuiltin="1"/>
    <cellStyle name="40% - 강조색2" xfId="34" builtinId="35" customBuiltin="1"/>
    <cellStyle name="40% - 강조색3" xfId="38" builtinId="39" customBuiltin="1"/>
    <cellStyle name="40% - 강조색4" xfId="42" builtinId="43" customBuiltin="1"/>
    <cellStyle name="40% - 강조색5" xfId="46" builtinId="47" customBuiltin="1"/>
    <cellStyle name="40% - 강조색6" xfId="50" builtinId="51" customBuiltin="1"/>
    <cellStyle name="60% - 강조색1" xfId="31" builtinId="32" customBuiltin="1"/>
    <cellStyle name="60% - 강조색2" xfId="35" builtinId="36" customBuiltin="1"/>
    <cellStyle name="60% - 강조색3" xfId="39" builtinId="40" customBuiltin="1"/>
    <cellStyle name="60% - 강조색4" xfId="43" builtinId="44" customBuiltin="1"/>
    <cellStyle name="60% - 강조색5" xfId="47" builtinId="48" customBuiltin="1"/>
    <cellStyle name="60% - 강조색6" xfId="51" builtinId="52" customBuiltin="1"/>
    <cellStyle name="강조색1" xfId="28" builtinId="29" customBuiltin="1"/>
    <cellStyle name="강조색2" xfId="32" builtinId="33" customBuiltin="1"/>
    <cellStyle name="강조색3" xfId="36" builtinId="37" customBuiltin="1"/>
    <cellStyle name="강조색4" xfId="40" builtinId="41" customBuiltin="1"/>
    <cellStyle name="강조색5" xfId="44" builtinId="45" customBuiltin="1"/>
    <cellStyle name="강조색6" xfId="48" builtinId="49" customBuiltin="1"/>
    <cellStyle name="경고문" xfId="24" builtinId="11" customBuiltin="1"/>
    <cellStyle name="계산" xfId="21" builtinId="22" customBuiltin="1"/>
    <cellStyle name="나쁨" xfId="17" builtinId="27" customBuiltin="1"/>
    <cellStyle name="날짜" xfId="6" xr:uid="{00000000-0005-0000-0000-000000000000}"/>
    <cellStyle name="메모" xfId="25" builtinId="10" customBuiltin="1"/>
    <cellStyle name="백분율" xfId="15" builtinId="5" customBuiltin="1"/>
    <cellStyle name="보통" xfId="18" builtinId="28" customBuiltin="1"/>
    <cellStyle name="상태" xfId="10" xr:uid="{00000000-0005-0000-0000-000008000000}"/>
    <cellStyle name="설명 텍스트" xfId="26" builtinId="53" customBuiltin="1"/>
    <cellStyle name="셀 확인" xfId="23" builtinId="23" customBuiltin="1"/>
    <cellStyle name="쉼표" xfId="11" builtinId="3" customBuiltin="1"/>
    <cellStyle name="쉼표 [0]" xfId="12" builtinId="6" customBuiltin="1"/>
    <cellStyle name="연결된 셀" xfId="22" builtinId="24" customBuiltin="1"/>
    <cellStyle name="요약" xfId="27" builtinId="25" customBuiltin="1"/>
    <cellStyle name="요일" xfId="8" xr:uid="{00000000-0005-0000-0000-000001000000}"/>
    <cellStyle name="월" xfId="9" xr:uid="{00000000-0005-0000-0000-000006000000}"/>
    <cellStyle name="입력" xfId="1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16" builtinId="26" customBuiltin="1"/>
    <cellStyle name="출력" xfId="20" builtinId="21" customBuiltin="1"/>
    <cellStyle name="통화" xfId="13" builtinId="4" customBuiltin="1"/>
    <cellStyle name="통화 [0]" xfId="14" builtinId="7" customBuiltin="1"/>
    <cellStyle name="평일" xfId="7" xr:uid="{00000000-0005-0000-0000-00000A000000}"/>
    <cellStyle name="표준" xfId="0" builtinId="0" customBuiltin="1"/>
  </cellStyles>
  <dxfs count="5"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C4F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roject Timelin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B1:AD31"/>
  <sheetViews>
    <sheetView showGridLines="0" tabSelected="1" topLeftCell="A8" zoomScaleNormal="100" workbookViewId="0">
      <selection activeCell="AF16" sqref="AF16"/>
    </sheetView>
  </sheetViews>
  <sheetFormatPr defaultColWidth="9" defaultRowHeight="30" customHeight="1"/>
  <cols>
    <col min="1" max="1" width="2.58203125" style="1" customWidth="1"/>
    <col min="2" max="2" width="13.58203125" style="4" customWidth="1"/>
    <col min="3" max="17" width="5.58203125" style="3" customWidth="1"/>
    <col min="18" max="30" width="5.58203125" style="1" customWidth="1"/>
    <col min="31" max="16384" width="9" style="1"/>
  </cols>
  <sheetData>
    <row r="1" spans="2:30" ht="48.75" customHeight="1"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pans="2:30" ht="24.75" customHeight="1" thickBot="1">
      <c r="B2" s="2" t="s">
        <v>0</v>
      </c>
      <c r="C2" s="18">
        <f>DATEVALUE("2025/09/01")</f>
        <v>45901</v>
      </c>
      <c r="D2" s="18"/>
      <c r="E2" s="18"/>
    </row>
    <row r="3" spans="2:30" ht="12.75" customHeight="1"/>
    <row r="4" spans="2:30" ht="18.75" customHeight="1">
      <c r="B4" s="5"/>
      <c r="C4" s="6" t="str">
        <f>LOWER(TEXT(C6, "m월"))</f>
        <v>9월</v>
      </c>
      <c r="D4" s="7" t="str">
        <f t="shared" ref="D4:I4" si="0">IF(TEXT(D6,"m월")=TEXT(C6,"m월"),"",LOWER(TEXT(D6,"m월")))</f>
        <v/>
      </c>
      <c r="E4" s="7" t="str">
        <f t="shared" si="0"/>
        <v/>
      </c>
      <c r="F4" s="7" t="str">
        <f t="shared" si="0"/>
        <v/>
      </c>
      <c r="G4" s="7" t="str">
        <f t="shared" si="0"/>
        <v/>
      </c>
      <c r="H4" s="7" t="str">
        <f t="shared" si="0"/>
        <v/>
      </c>
      <c r="I4" s="7" t="str">
        <f t="shared" si="0"/>
        <v/>
      </c>
      <c r="J4" s="8" t="str">
        <f>LOWER(TEXT(J6,"m월"))</f>
        <v>9월</v>
      </c>
      <c r="K4" s="8" t="str">
        <f t="shared" ref="K4:P4" si="1">IF(TEXT(K6,"m월")=TEXT(J6,"m월"),"",LOWER(TEXT(K6,"m월")))</f>
        <v/>
      </c>
      <c r="L4" s="8" t="str">
        <f t="shared" si="1"/>
        <v/>
      </c>
      <c r="M4" s="8" t="str">
        <f t="shared" si="1"/>
        <v/>
      </c>
      <c r="N4" s="8" t="str">
        <f t="shared" si="1"/>
        <v/>
      </c>
      <c r="O4" s="8" t="str">
        <f t="shared" si="1"/>
        <v/>
      </c>
      <c r="P4" s="8" t="str">
        <f t="shared" si="1"/>
        <v/>
      </c>
      <c r="Q4" s="7" t="str">
        <f>LOWER(TEXT(Q6,"m월"))</f>
        <v>9월</v>
      </c>
      <c r="R4" s="7" t="str">
        <f t="shared" ref="R4:W4" si="2">IF(TEXT(R6,"m월")=TEXT(Q6,"m월"),"",LOWER(TEXT(R6,"m월")))</f>
        <v/>
      </c>
      <c r="S4" s="7" t="str">
        <f t="shared" si="2"/>
        <v/>
      </c>
      <c r="T4" s="7" t="str">
        <f t="shared" si="2"/>
        <v/>
      </c>
      <c r="U4" s="7" t="str">
        <f t="shared" si="2"/>
        <v/>
      </c>
      <c r="V4" s="7" t="str">
        <f t="shared" si="2"/>
        <v/>
      </c>
      <c r="W4" s="7" t="str">
        <f t="shared" si="2"/>
        <v/>
      </c>
      <c r="X4" s="8" t="str">
        <f>LOWER(TEXT(X6,"m월"))</f>
        <v>9월</v>
      </c>
      <c r="Y4" s="8" t="str">
        <f t="shared" ref="Y4:AD4" si="3">IF(TEXT(Y6,"m월")=TEXT(X6,"m월"),"",LOWER(TEXT(Y6,"m월")))</f>
        <v/>
      </c>
      <c r="Z4" s="8" t="str">
        <f t="shared" si="3"/>
        <v/>
      </c>
      <c r="AA4" s="8" t="str">
        <f t="shared" si="3"/>
        <v/>
      </c>
      <c r="AB4" s="8" t="str">
        <f t="shared" si="3"/>
        <v/>
      </c>
      <c r="AC4" s="8" t="str">
        <f t="shared" si="3"/>
        <v/>
      </c>
      <c r="AD4" s="8" t="str">
        <f t="shared" si="3"/>
        <v/>
      </c>
    </row>
    <row r="5" spans="2:30" ht="12" customHeight="1">
      <c r="B5" s="5"/>
      <c r="C5" s="9" t="str">
        <f>LOWER(TEXT(C6,"aaa"))</f>
        <v>월</v>
      </c>
      <c r="D5" s="9" t="str">
        <f t="shared" ref="D5:AD5" si="4">LOWER(TEXT(D6,"aaa"))</f>
        <v>화</v>
      </c>
      <c r="E5" s="9" t="str">
        <f t="shared" si="4"/>
        <v>수</v>
      </c>
      <c r="F5" s="9" t="str">
        <f t="shared" si="4"/>
        <v>목</v>
      </c>
      <c r="G5" s="9" t="str">
        <f t="shared" si="4"/>
        <v>금</v>
      </c>
      <c r="H5" s="9" t="str">
        <f t="shared" si="4"/>
        <v>토</v>
      </c>
      <c r="I5" s="9" t="str">
        <f t="shared" si="4"/>
        <v>일</v>
      </c>
      <c r="J5" s="10" t="str">
        <f t="shared" si="4"/>
        <v>월</v>
      </c>
      <c r="K5" s="10" t="str">
        <f t="shared" si="4"/>
        <v>화</v>
      </c>
      <c r="L5" s="10" t="str">
        <f t="shared" si="4"/>
        <v>수</v>
      </c>
      <c r="M5" s="10" t="str">
        <f t="shared" si="4"/>
        <v>목</v>
      </c>
      <c r="N5" s="10" t="str">
        <f t="shared" si="4"/>
        <v>금</v>
      </c>
      <c r="O5" s="10" t="str">
        <f t="shared" si="4"/>
        <v>토</v>
      </c>
      <c r="P5" s="10" t="str">
        <f t="shared" si="4"/>
        <v>일</v>
      </c>
      <c r="Q5" s="9" t="str">
        <f t="shared" si="4"/>
        <v>월</v>
      </c>
      <c r="R5" s="9" t="str">
        <f t="shared" si="4"/>
        <v>화</v>
      </c>
      <c r="S5" s="9" t="str">
        <f t="shared" si="4"/>
        <v>수</v>
      </c>
      <c r="T5" s="9" t="str">
        <f t="shared" si="4"/>
        <v>목</v>
      </c>
      <c r="U5" s="9" t="str">
        <f t="shared" si="4"/>
        <v>금</v>
      </c>
      <c r="V5" s="9" t="str">
        <f t="shared" si="4"/>
        <v>토</v>
      </c>
      <c r="W5" s="9" t="str">
        <f t="shared" si="4"/>
        <v>일</v>
      </c>
      <c r="X5" s="10" t="str">
        <f t="shared" si="4"/>
        <v>월</v>
      </c>
      <c r="Y5" s="10" t="str">
        <f t="shared" si="4"/>
        <v>화</v>
      </c>
      <c r="Z5" s="10" t="str">
        <f t="shared" si="4"/>
        <v>수</v>
      </c>
      <c r="AA5" s="10" t="str">
        <f t="shared" si="4"/>
        <v>목</v>
      </c>
      <c r="AB5" s="10" t="str">
        <f t="shared" si="4"/>
        <v>금</v>
      </c>
      <c r="AC5" s="10" t="str">
        <f t="shared" si="4"/>
        <v>토</v>
      </c>
      <c r="AD5" s="10" t="str">
        <f t="shared" si="4"/>
        <v>일</v>
      </c>
    </row>
    <row r="6" spans="2:30" ht="18" customHeight="1" thickBot="1">
      <c r="B6" s="16" t="s">
        <v>5</v>
      </c>
      <c r="C6" s="11">
        <f>C2</f>
        <v>45901</v>
      </c>
      <c r="D6" s="11">
        <f>C6+1</f>
        <v>45902</v>
      </c>
      <c r="E6" s="11">
        <f t="shared" ref="E6:Q6" si="5">D6+1</f>
        <v>45903</v>
      </c>
      <c r="F6" s="11">
        <f t="shared" si="5"/>
        <v>45904</v>
      </c>
      <c r="G6" s="11">
        <f t="shared" si="5"/>
        <v>45905</v>
      </c>
      <c r="H6" s="11">
        <f t="shared" si="5"/>
        <v>45906</v>
      </c>
      <c r="I6" s="11">
        <f t="shared" si="5"/>
        <v>45907</v>
      </c>
      <c r="J6" s="12">
        <f t="shared" si="5"/>
        <v>45908</v>
      </c>
      <c r="K6" s="12">
        <f t="shared" si="5"/>
        <v>45909</v>
      </c>
      <c r="L6" s="12">
        <f t="shared" si="5"/>
        <v>45910</v>
      </c>
      <c r="M6" s="12">
        <f t="shared" si="5"/>
        <v>45911</v>
      </c>
      <c r="N6" s="12">
        <f t="shared" si="5"/>
        <v>45912</v>
      </c>
      <c r="O6" s="12">
        <f t="shared" si="5"/>
        <v>45913</v>
      </c>
      <c r="P6" s="12">
        <f t="shared" si="5"/>
        <v>45914</v>
      </c>
      <c r="Q6" s="11">
        <f t="shared" si="5"/>
        <v>45915</v>
      </c>
      <c r="R6" s="11">
        <f t="shared" ref="R6:X6" si="6">Q6+1</f>
        <v>45916</v>
      </c>
      <c r="S6" s="11">
        <f t="shared" si="6"/>
        <v>45917</v>
      </c>
      <c r="T6" s="11">
        <f t="shared" si="6"/>
        <v>45918</v>
      </c>
      <c r="U6" s="11">
        <f t="shared" si="6"/>
        <v>45919</v>
      </c>
      <c r="V6" s="11">
        <f t="shared" si="6"/>
        <v>45920</v>
      </c>
      <c r="W6" s="11">
        <f t="shared" si="6"/>
        <v>45921</v>
      </c>
      <c r="X6" s="12">
        <f t="shared" si="6"/>
        <v>45922</v>
      </c>
      <c r="Y6" s="12">
        <f t="shared" ref="Y6:AC6" si="7">X6+1</f>
        <v>45923</v>
      </c>
      <c r="Z6" s="12">
        <f t="shared" si="7"/>
        <v>45924</v>
      </c>
      <c r="AA6" s="12">
        <f t="shared" si="7"/>
        <v>45925</v>
      </c>
      <c r="AB6" s="12">
        <f t="shared" si="7"/>
        <v>45926</v>
      </c>
      <c r="AC6" s="12">
        <f t="shared" si="7"/>
        <v>45927</v>
      </c>
      <c r="AD6" s="12">
        <f>AC6+1</f>
        <v>45928</v>
      </c>
    </row>
    <row r="7" spans="2:30" ht="30" customHeight="1">
      <c r="B7" s="13" t="s">
        <v>2</v>
      </c>
      <c r="C7" s="28" t="s">
        <v>6</v>
      </c>
      <c r="D7" s="28"/>
      <c r="E7" s="28"/>
      <c r="F7" s="28"/>
      <c r="G7" s="28"/>
      <c r="H7" s="28"/>
      <c r="I7" s="28"/>
      <c r="J7" s="31" t="s">
        <v>13</v>
      </c>
      <c r="K7" s="31"/>
      <c r="L7" s="31"/>
      <c r="M7" s="31"/>
      <c r="N7" s="31"/>
      <c r="O7" s="31"/>
      <c r="P7" s="31"/>
      <c r="Q7" s="19" t="s">
        <v>14</v>
      </c>
      <c r="R7" s="19"/>
      <c r="S7" s="19"/>
      <c r="T7" s="19"/>
      <c r="U7" s="19"/>
      <c r="V7" s="19"/>
      <c r="W7" s="19"/>
      <c r="X7" s="32" t="s">
        <v>15</v>
      </c>
      <c r="Y7" s="32"/>
      <c r="Z7" s="32"/>
      <c r="AA7" s="32"/>
      <c r="AB7" s="32"/>
      <c r="AC7" s="32"/>
      <c r="AD7" s="32"/>
    </row>
    <row r="8" spans="2:30" ht="30" customHeight="1">
      <c r="B8" s="13" t="s">
        <v>3</v>
      </c>
      <c r="C8" s="22" t="s">
        <v>7</v>
      </c>
      <c r="D8" s="22"/>
      <c r="E8" s="22"/>
      <c r="F8" s="22"/>
      <c r="G8" s="22"/>
      <c r="H8" s="22"/>
      <c r="I8" s="22"/>
      <c r="J8" s="20" t="s">
        <v>29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3" t="s">
        <v>8</v>
      </c>
      <c r="Y8" s="23"/>
      <c r="Z8" s="23"/>
      <c r="AA8" s="23"/>
      <c r="AB8" s="23"/>
      <c r="AC8" s="23"/>
      <c r="AD8" s="23"/>
    </row>
    <row r="9" spans="2:30" ht="30" customHeight="1">
      <c r="B9" s="13" t="s">
        <v>4</v>
      </c>
      <c r="C9" s="21" t="s">
        <v>10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9" t="s">
        <v>11</v>
      </c>
      <c r="R9" s="29"/>
      <c r="S9" s="29"/>
      <c r="T9" s="29"/>
      <c r="U9" s="29"/>
      <c r="V9" s="29"/>
      <c r="W9" s="29"/>
      <c r="X9" s="30" t="s">
        <v>12</v>
      </c>
      <c r="Y9" s="30"/>
      <c r="Z9" s="30"/>
      <c r="AA9" s="30"/>
      <c r="AB9" s="30"/>
      <c r="AC9" s="30"/>
      <c r="AD9" s="30"/>
    </row>
    <row r="10" spans="2:30" ht="30" customHeight="1">
      <c r="B10" s="13"/>
      <c r="C10" s="15"/>
      <c r="D10" s="14"/>
      <c r="E10" s="15"/>
      <c r="F10" s="14"/>
      <c r="G10" s="15"/>
      <c r="H10" s="14"/>
      <c r="I10" s="15"/>
      <c r="J10" s="14"/>
      <c r="K10" s="15"/>
      <c r="L10" s="14"/>
      <c r="M10" s="15"/>
      <c r="N10" s="14"/>
      <c r="O10" s="15"/>
      <c r="P10" s="14"/>
      <c r="Q10" s="15"/>
      <c r="R10" s="14"/>
      <c r="S10" s="15"/>
      <c r="T10" s="14"/>
      <c r="U10" s="15"/>
      <c r="V10" s="14"/>
      <c r="W10" s="15"/>
      <c r="X10" s="14"/>
      <c r="Y10" s="15"/>
      <c r="Z10" s="14"/>
      <c r="AA10" s="15"/>
      <c r="AB10" s="14"/>
      <c r="AC10" s="15"/>
      <c r="AD10" s="14"/>
    </row>
    <row r="11" spans="2:30" ht="30" customHeight="1">
      <c r="B11" s="13"/>
      <c r="C11" s="6" t="str">
        <f>LOWER(TEXT(C13, "m월"))</f>
        <v>9월</v>
      </c>
      <c r="D11" s="7" t="str">
        <f t="shared" ref="D11" si="8">IF(TEXT(D13,"m월")=TEXT(C13,"m월"),"",LOWER(TEXT(D13,"m월")))</f>
        <v/>
      </c>
      <c r="E11" s="7" t="str">
        <f t="shared" ref="E11" si="9">IF(TEXT(E13,"m월")=TEXT(D13,"m월"),"",LOWER(TEXT(E13,"m월")))</f>
        <v>10월</v>
      </c>
      <c r="F11" s="7" t="str">
        <f t="shared" ref="F11" si="10">IF(TEXT(F13,"m월")=TEXT(E13,"m월"),"",LOWER(TEXT(F13,"m월")))</f>
        <v/>
      </c>
      <c r="G11" s="7" t="str">
        <f t="shared" ref="G11" si="11">IF(TEXT(G13,"m월")=TEXT(F13,"m월"),"",LOWER(TEXT(G13,"m월")))</f>
        <v/>
      </c>
      <c r="H11" s="7" t="str">
        <f t="shared" ref="H11" si="12">IF(TEXT(H13,"m월")=TEXT(G13,"m월"),"",LOWER(TEXT(H13,"m월")))</f>
        <v/>
      </c>
      <c r="I11" s="7" t="str">
        <f t="shared" ref="I11" si="13">IF(TEXT(I13,"m월")=TEXT(H13,"m월"),"",LOWER(TEXT(I13,"m월")))</f>
        <v/>
      </c>
      <c r="J11" s="8" t="str">
        <f>LOWER(TEXT(J13,"m월"))</f>
        <v>10월</v>
      </c>
      <c r="K11" s="8" t="str">
        <f t="shared" ref="K11" si="14">IF(TEXT(K13,"m월")=TEXT(J13,"m월"),"",LOWER(TEXT(K13,"m월")))</f>
        <v/>
      </c>
      <c r="L11" s="8" t="str">
        <f t="shared" ref="L11" si="15">IF(TEXT(L13,"m월")=TEXT(K13,"m월"),"",LOWER(TEXT(L13,"m월")))</f>
        <v/>
      </c>
      <c r="M11" s="8" t="str">
        <f t="shared" ref="M11" si="16">IF(TEXT(M13,"m월")=TEXT(L13,"m월"),"",LOWER(TEXT(M13,"m월")))</f>
        <v/>
      </c>
      <c r="N11" s="8" t="str">
        <f t="shared" ref="N11" si="17">IF(TEXT(N13,"m월")=TEXT(M13,"m월"),"",LOWER(TEXT(N13,"m월")))</f>
        <v/>
      </c>
      <c r="O11" s="8" t="str">
        <f t="shared" ref="O11" si="18">IF(TEXT(O13,"m월")=TEXT(N13,"m월"),"",LOWER(TEXT(O13,"m월")))</f>
        <v/>
      </c>
      <c r="P11" s="8" t="str">
        <f t="shared" ref="P11" si="19">IF(TEXT(P13,"m월")=TEXT(O13,"m월"),"",LOWER(TEXT(P13,"m월")))</f>
        <v/>
      </c>
      <c r="Q11" s="7" t="str">
        <f>LOWER(TEXT(Q13,"m월"))</f>
        <v>10월</v>
      </c>
      <c r="R11" s="7" t="str">
        <f t="shared" ref="R11" si="20">IF(TEXT(R13,"m월")=TEXT(Q13,"m월"),"",LOWER(TEXT(R13,"m월")))</f>
        <v/>
      </c>
      <c r="S11" s="7" t="str">
        <f t="shared" ref="S11" si="21">IF(TEXT(S13,"m월")=TEXT(R13,"m월"),"",LOWER(TEXT(S13,"m월")))</f>
        <v/>
      </c>
      <c r="T11" s="7" t="str">
        <f t="shared" ref="T11" si="22">IF(TEXT(T13,"m월")=TEXT(S13,"m월"),"",LOWER(TEXT(T13,"m월")))</f>
        <v/>
      </c>
      <c r="U11" s="7" t="str">
        <f t="shared" ref="U11" si="23">IF(TEXT(U13,"m월")=TEXT(T13,"m월"),"",LOWER(TEXT(U13,"m월")))</f>
        <v/>
      </c>
      <c r="V11" s="7" t="str">
        <f t="shared" ref="V11" si="24">IF(TEXT(V13,"m월")=TEXT(U13,"m월"),"",LOWER(TEXT(V13,"m월")))</f>
        <v/>
      </c>
      <c r="W11" s="7" t="str">
        <f t="shared" ref="W11" si="25">IF(TEXT(W13,"m월")=TEXT(V13,"m월"),"",LOWER(TEXT(W13,"m월")))</f>
        <v/>
      </c>
      <c r="X11" s="8" t="str">
        <f>LOWER(TEXT(X13,"m월"))</f>
        <v>10월</v>
      </c>
      <c r="Y11" s="8" t="str">
        <f t="shared" ref="Y11" si="26">IF(TEXT(Y13,"m월")=TEXT(X13,"m월"),"",LOWER(TEXT(Y13,"m월")))</f>
        <v/>
      </c>
      <c r="Z11" s="8" t="str">
        <f t="shared" ref="Z11" si="27">IF(TEXT(Z13,"m월")=TEXT(Y13,"m월"),"",LOWER(TEXT(Z13,"m월")))</f>
        <v/>
      </c>
      <c r="AA11" s="8" t="str">
        <f t="shared" ref="AA11" si="28">IF(TEXT(AA13,"m월")=TEXT(Z13,"m월"),"",LOWER(TEXT(AA13,"m월")))</f>
        <v/>
      </c>
      <c r="AB11" s="8" t="str">
        <f t="shared" ref="AB11" si="29">IF(TEXT(AB13,"m월")=TEXT(AA13,"m월"),"",LOWER(TEXT(AB13,"m월")))</f>
        <v/>
      </c>
      <c r="AC11" s="8" t="str">
        <f t="shared" ref="AC11" si="30">IF(TEXT(AC13,"m월")=TEXT(AB13,"m월"),"",LOWER(TEXT(AC13,"m월")))</f>
        <v/>
      </c>
      <c r="AD11" s="8" t="str">
        <f t="shared" ref="AD11" si="31">IF(TEXT(AD13,"m월")=TEXT(AC13,"m월"),"",LOWER(TEXT(AD13,"m월")))</f>
        <v/>
      </c>
    </row>
    <row r="12" spans="2:30" ht="30" customHeight="1">
      <c r="B12" s="13"/>
      <c r="C12" s="9" t="str">
        <f>LOWER(TEXT(C13,"aaa"))</f>
        <v>월</v>
      </c>
      <c r="D12" s="9" t="str">
        <f t="shared" ref="D12:AD12" si="32">LOWER(TEXT(D13,"aaa"))</f>
        <v>화</v>
      </c>
      <c r="E12" s="9" t="str">
        <f t="shared" si="32"/>
        <v>수</v>
      </c>
      <c r="F12" s="9" t="str">
        <f t="shared" si="32"/>
        <v>목</v>
      </c>
      <c r="G12" s="9" t="str">
        <f t="shared" si="32"/>
        <v>금</v>
      </c>
      <c r="H12" s="9" t="str">
        <f t="shared" si="32"/>
        <v>토</v>
      </c>
      <c r="I12" s="9" t="str">
        <f t="shared" si="32"/>
        <v>일</v>
      </c>
      <c r="J12" s="10" t="str">
        <f t="shared" si="32"/>
        <v>월</v>
      </c>
      <c r="K12" s="10" t="str">
        <f t="shared" si="32"/>
        <v>화</v>
      </c>
      <c r="L12" s="10" t="str">
        <f t="shared" si="32"/>
        <v>수</v>
      </c>
      <c r="M12" s="10" t="str">
        <f t="shared" si="32"/>
        <v>목</v>
      </c>
      <c r="N12" s="10" t="str">
        <f t="shared" si="32"/>
        <v>금</v>
      </c>
      <c r="O12" s="10" t="str">
        <f t="shared" si="32"/>
        <v>토</v>
      </c>
      <c r="P12" s="10" t="str">
        <f t="shared" si="32"/>
        <v>일</v>
      </c>
      <c r="Q12" s="9" t="str">
        <f t="shared" si="32"/>
        <v>월</v>
      </c>
      <c r="R12" s="9" t="str">
        <f t="shared" si="32"/>
        <v>화</v>
      </c>
      <c r="S12" s="9" t="str">
        <f t="shared" si="32"/>
        <v>수</v>
      </c>
      <c r="T12" s="9" t="str">
        <f t="shared" si="32"/>
        <v>목</v>
      </c>
      <c r="U12" s="9" t="str">
        <f t="shared" si="32"/>
        <v>금</v>
      </c>
      <c r="V12" s="9" t="str">
        <f t="shared" si="32"/>
        <v>토</v>
      </c>
      <c r="W12" s="9" t="str">
        <f t="shared" si="32"/>
        <v>일</v>
      </c>
      <c r="X12" s="10" t="str">
        <f t="shared" si="32"/>
        <v>월</v>
      </c>
      <c r="Y12" s="10" t="str">
        <f t="shared" si="32"/>
        <v>화</v>
      </c>
      <c r="Z12" s="10" t="str">
        <f t="shared" si="32"/>
        <v>수</v>
      </c>
      <c r="AA12" s="10" t="str">
        <f t="shared" si="32"/>
        <v>목</v>
      </c>
      <c r="AB12" s="10" t="str">
        <f t="shared" si="32"/>
        <v>금</v>
      </c>
      <c r="AC12" s="10" t="str">
        <f t="shared" si="32"/>
        <v>토</v>
      </c>
      <c r="AD12" s="10" t="str">
        <f t="shared" si="32"/>
        <v>일</v>
      </c>
    </row>
    <row r="13" spans="2:30" ht="30" customHeight="1" thickBot="1">
      <c r="B13" s="13"/>
      <c r="C13" s="11">
        <f>AD6+1</f>
        <v>45929</v>
      </c>
      <c r="D13" s="11">
        <f>C13+1</f>
        <v>45930</v>
      </c>
      <c r="E13" s="11">
        <f t="shared" ref="E13" si="33">D13+1</f>
        <v>45931</v>
      </c>
      <c r="F13" s="11">
        <f t="shared" ref="F13" si="34">E13+1</f>
        <v>45932</v>
      </c>
      <c r="G13" s="11">
        <f t="shared" ref="G13" si="35">F13+1</f>
        <v>45933</v>
      </c>
      <c r="H13" s="11">
        <f t="shared" ref="H13" si="36">G13+1</f>
        <v>45934</v>
      </c>
      <c r="I13" s="11">
        <f t="shared" ref="I13" si="37">H13+1</f>
        <v>45935</v>
      </c>
      <c r="J13" s="12">
        <f t="shared" ref="J13" si="38">I13+1</f>
        <v>45936</v>
      </c>
      <c r="K13" s="12">
        <f t="shared" ref="K13" si="39">J13+1</f>
        <v>45937</v>
      </c>
      <c r="L13" s="12">
        <f t="shared" ref="L13" si="40">K13+1</f>
        <v>45938</v>
      </c>
      <c r="M13" s="12">
        <f t="shared" ref="M13" si="41">L13+1</f>
        <v>45939</v>
      </c>
      <c r="N13" s="12">
        <f t="shared" ref="N13" si="42">M13+1</f>
        <v>45940</v>
      </c>
      <c r="O13" s="12">
        <f t="shared" ref="O13" si="43">N13+1</f>
        <v>45941</v>
      </c>
      <c r="P13" s="12">
        <f t="shared" ref="P13" si="44">O13+1</f>
        <v>45942</v>
      </c>
      <c r="Q13" s="11">
        <f t="shared" ref="Q13" si="45">P13+1</f>
        <v>45943</v>
      </c>
      <c r="R13" s="11">
        <f t="shared" ref="R13" si="46">Q13+1</f>
        <v>45944</v>
      </c>
      <c r="S13" s="11">
        <f t="shared" ref="S13" si="47">R13+1</f>
        <v>45945</v>
      </c>
      <c r="T13" s="11">
        <f t="shared" ref="T13" si="48">S13+1</f>
        <v>45946</v>
      </c>
      <c r="U13" s="11">
        <f t="shared" ref="U13" si="49">T13+1</f>
        <v>45947</v>
      </c>
      <c r="V13" s="11">
        <f t="shared" ref="V13" si="50">U13+1</f>
        <v>45948</v>
      </c>
      <c r="W13" s="11">
        <f t="shared" ref="W13" si="51">V13+1</f>
        <v>45949</v>
      </c>
      <c r="X13" s="12">
        <f t="shared" ref="X13" si="52">W13+1</f>
        <v>45950</v>
      </c>
      <c r="Y13" s="12">
        <f t="shared" ref="Y13" si="53">X13+1</f>
        <v>45951</v>
      </c>
      <c r="Z13" s="12">
        <f t="shared" ref="Z13" si="54">Y13+1</f>
        <v>45952</v>
      </c>
      <c r="AA13" s="12">
        <f t="shared" ref="AA13" si="55">Z13+1</f>
        <v>45953</v>
      </c>
      <c r="AB13" s="12">
        <f t="shared" ref="AB13" si="56">AA13+1</f>
        <v>45954</v>
      </c>
      <c r="AC13" s="12">
        <f t="shared" ref="AC13" si="57">AB13+1</f>
        <v>45955</v>
      </c>
      <c r="AD13" s="12">
        <f t="shared" ref="AD13" si="58">AC13+1</f>
        <v>45956</v>
      </c>
    </row>
    <row r="14" spans="2:30" ht="30" customHeight="1">
      <c r="B14" s="13" t="s">
        <v>2</v>
      </c>
      <c r="C14" s="19" t="s">
        <v>16</v>
      </c>
      <c r="D14" s="19"/>
      <c r="E14" s="19"/>
      <c r="F14" s="19"/>
      <c r="G14" s="19"/>
      <c r="H14" s="19"/>
      <c r="I14" s="19"/>
      <c r="J14" s="24" t="s">
        <v>18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6" t="s">
        <v>17</v>
      </c>
      <c r="Y14" s="26"/>
      <c r="Z14" s="26"/>
      <c r="AA14" s="26"/>
      <c r="AB14" s="26"/>
      <c r="AC14" s="26"/>
      <c r="AD14" s="26"/>
    </row>
    <row r="15" spans="2:30" ht="30" customHeight="1">
      <c r="B15" s="13" t="s">
        <v>3</v>
      </c>
      <c r="C15" s="23" t="s">
        <v>8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 t="s">
        <v>9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2:30" ht="30" customHeight="1">
      <c r="B16" s="13" t="s">
        <v>4</v>
      </c>
      <c r="C16" s="36" t="s">
        <v>12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22" t="s">
        <v>24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2:30" ht="30" customHeight="1">
      <c r="B17" s="13"/>
      <c r="C17" s="6" t="str">
        <f>LOWER(TEXT(C19, "m월"))</f>
        <v>10월</v>
      </c>
      <c r="D17" s="7" t="str">
        <f t="shared" ref="D17" si="59">IF(TEXT(D19,"m월")=TEXT(C19,"m월"),"",LOWER(TEXT(D19,"m월")))</f>
        <v/>
      </c>
      <c r="E17" s="7" t="str">
        <f t="shared" ref="E17" si="60">IF(TEXT(E19,"m월")=TEXT(D19,"m월"),"",LOWER(TEXT(E19,"m월")))</f>
        <v/>
      </c>
      <c r="F17" s="7" t="str">
        <f t="shared" ref="F17" si="61">IF(TEXT(F19,"m월")=TEXT(E19,"m월"),"",LOWER(TEXT(F19,"m월")))</f>
        <v/>
      </c>
      <c r="G17" s="7" t="str">
        <f t="shared" ref="G17" si="62">IF(TEXT(G19,"m월")=TEXT(F19,"m월"),"",LOWER(TEXT(G19,"m월")))</f>
        <v/>
      </c>
      <c r="H17" s="7" t="str">
        <f t="shared" ref="H17" si="63">IF(TEXT(H19,"m월")=TEXT(G19,"m월"),"",LOWER(TEXT(H19,"m월")))</f>
        <v>11월</v>
      </c>
      <c r="I17" s="7" t="str">
        <f>IF(TEXT(I19,"m월")=TEXT(H19,"m월"),"",LOWER(TEXT(I19,"m월")))</f>
        <v/>
      </c>
      <c r="J17" s="8" t="str">
        <f>LOWER(TEXT(J19,"m월"))</f>
        <v>11월</v>
      </c>
      <c r="K17" s="8" t="str">
        <f t="shared" ref="K17" si="64">IF(TEXT(K19,"m월")=TEXT(J19,"m월"),"",LOWER(TEXT(K19,"m월")))</f>
        <v/>
      </c>
      <c r="L17" s="8" t="str">
        <f t="shared" ref="L17" si="65">IF(TEXT(L19,"m월")=TEXT(K19,"m월"),"",LOWER(TEXT(L19,"m월")))</f>
        <v/>
      </c>
      <c r="M17" s="8" t="str">
        <f t="shared" ref="M17" si="66">IF(TEXT(M19,"m월")=TEXT(L19,"m월"),"",LOWER(TEXT(M19,"m월")))</f>
        <v/>
      </c>
      <c r="N17" s="8" t="str">
        <f t="shared" ref="N17" si="67">IF(TEXT(N19,"m월")=TEXT(M19,"m월"),"",LOWER(TEXT(N19,"m월")))</f>
        <v/>
      </c>
      <c r="O17" s="8" t="str">
        <f t="shared" ref="O17" si="68">IF(TEXT(O19,"m월")=TEXT(N19,"m월"),"",LOWER(TEXT(O19,"m월")))</f>
        <v/>
      </c>
      <c r="P17" s="8" t="str">
        <f>IF(TEXT(P19,"m월")=TEXT(O19,"m월"),"",LOWER(TEXT(P19,"m월")))</f>
        <v/>
      </c>
      <c r="Q17" s="7" t="str">
        <f>LOWER(TEXT(Q19,"m월"))</f>
        <v>11월</v>
      </c>
      <c r="R17" s="7" t="str">
        <f t="shared" ref="R17" si="69">IF(TEXT(R19,"m월")=TEXT(Q19,"m월"),"",LOWER(TEXT(R19,"m월")))</f>
        <v/>
      </c>
      <c r="S17" s="7" t="str">
        <f t="shared" ref="S17" si="70">IF(TEXT(S19,"m월")=TEXT(R19,"m월"),"",LOWER(TEXT(S19,"m월")))</f>
        <v/>
      </c>
      <c r="T17" s="7" t="str">
        <f t="shared" ref="T17" si="71">IF(TEXT(T19,"m월")=TEXT(S19,"m월"),"",LOWER(TEXT(T19,"m월")))</f>
        <v/>
      </c>
      <c r="U17" s="7" t="str">
        <f t="shared" ref="U17" si="72">IF(TEXT(U19,"m월")=TEXT(T19,"m월"),"",LOWER(TEXT(U19,"m월")))</f>
        <v/>
      </c>
      <c r="V17" s="7" t="str">
        <f t="shared" ref="V17" si="73">IF(TEXT(V19,"m월")=TEXT(U19,"m월"),"",LOWER(TEXT(V19,"m월")))</f>
        <v/>
      </c>
      <c r="W17" s="7" t="str">
        <f t="shared" ref="W17" si="74">IF(TEXT(W19,"m월")=TEXT(V19,"m월"),"",LOWER(TEXT(W19,"m월")))</f>
        <v/>
      </c>
      <c r="X17" s="8" t="str">
        <f>LOWER(TEXT(X19,"m월"))</f>
        <v>11월</v>
      </c>
      <c r="Y17" s="8" t="str">
        <f t="shared" ref="Y17" si="75">IF(TEXT(Y19,"m월")=TEXT(X19,"m월"),"",LOWER(TEXT(Y19,"m월")))</f>
        <v/>
      </c>
      <c r="Z17" s="8" t="str">
        <f t="shared" ref="Z17" si="76">IF(TEXT(Z19,"m월")=TEXT(Y19,"m월"),"",LOWER(TEXT(Z19,"m월")))</f>
        <v/>
      </c>
      <c r="AA17" s="8" t="str">
        <f t="shared" ref="AA17" si="77">IF(TEXT(AA19,"m월")=TEXT(Z19,"m월"),"",LOWER(TEXT(AA19,"m월")))</f>
        <v/>
      </c>
      <c r="AB17" s="8" t="str">
        <f t="shared" ref="AB17" si="78">IF(TEXT(AB19,"m월")=TEXT(AA19,"m월"),"",LOWER(TEXT(AB19,"m월")))</f>
        <v/>
      </c>
      <c r="AC17" s="8" t="str">
        <f t="shared" ref="AC17" si="79">IF(TEXT(AC19,"m월")=TEXT(AB19,"m월"),"",LOWER(TEXT(AC19,"m월")))</f>
        <v/>
      </c>
      <c r="AD17" s="8" t="str">
        <f t="shared" ref="AD17" si="80">IF(TEXT(AD19,"m월")=TEXT(AC19,"m월"),"",LOWER(TEXT(AD19,"m월")))</f>
        <v/>
      </c>
    </row>
    <row r="18" spans="2:30" ht="30" customHeight="1">
      <c r="B18" s="13"/>
      <c r="C18" s="9" t="str">
        <f>LOWER(TEXT(C19,"aaa"))</f>
        <v>월</v>
      </c>
      <c r="D18" s="9" t="str">
        <f t="shared" ref="D18:AD18" si="81">LOWER(TEXT(D19,"aaa"))</f>
        <v>화</v>
      </c>
      <c r="E18" s="9" t="str">
        <f t="shared" si="81"/>
        <v>수</v>
      </c>
      <c r="F18" s="9" t="str">
        <f t="shared" si="81"/>
        <v>목</v>
      </c>
      <c r="G18" s="9" t="str">
        <f t="shared" si="81"/>
        <v>금</v>
      </c>
      <c r="H18" s="9" t="str">
        <f t="shared" si="81"/>
        <v>토</v>
      </c>
      <c r="I18" s="9" t="str">
        <f t="shared" si="81"/>
        <v>일</v>
      </c>
      <c r="J18" s="10" t="str">
        <f t="shared" si="81"/>
        <v>월</v>
      </c>
      <c r="K18" s="10" t="str">
        <f t="shared" si="81"/>
        <v>화</v>
      </c>
      <c r="L18" s="10" t="str">
        <f t="shared" si="81"/>
        <v>수</v>
      </c>
      <c r="M18" s="10" t="str">
        <f t="shared" si="81"/>
        <v>목</v>
      </c>
      <c r="N18" s="10" t="str">
        <f t="shared" si="81"/>
        <v>금</v>
      </c>
      <c r="O18" s="10" t="str">
        <f t="shared" si="81"/>
        <v>토</v>
      </c>
      <c r="P18" s="10" t="str">
        <f t="shared" si="81"/>
        <v>일</v>
      </c>
      <c r="Q18" s="9" t="str">
        <f t="shared" si="81"/>
        <v>월</v>
      </c>
      <c r="R18" s="9" t="str">
        <f t="shared" si="81"/>
        <v>화</v>
      </c>
      <c r="S18" s="9" t="str">
        <f t="shared" si="81"/>
        <v>수</v>
      </c>
      <c r="T18" s="9" t="str">
        <f t="shared" si="81"/>
        <v>목</v>
      </c>
      <c r="U18" s="9" t="str">
        <f t="shared" si="81"/>
        <v>금</v>
      </c>
      <c r="V18" s="9" t="str">
        <f t="shared" si="81"/>
        <v>토</v>
      </c>
      <c r="W18" s="9" t="str">
        <f t="shared" si="81"/>
        <v>일</v>
      </c>
      <c r="X18" s="10" t="str">
        <f t="shared" si="81"/>
        <v>월</v>
      </c>
      <c r="Y18" s="10" t="str">
        <f t="shared" si="81"/>
        <v>화</v>
      </c>
      <c r="Z18" s="10" t="str">
        <f t="shared" si="81"/>
        <v>수</v>
      </c>
      <c r="AA18" s="10" t="str">
        <f t="shared" si="81"/>
        <v>목</v>
      </c>
      <c r="AB18" s="10" t="str">
        <f t="shared" si="81"/>
        <v>금</v>
      </c>
      <c r="AC18" s="10" t="str">
        <f t="shared" si="81"/>
        <v>토</v>
      </c>
      <c r="AD18" s="10" t="str">
        <f t="shared" si="81"/>
        <v>일</v>
      </c>
    </row>
    <row r="19" spans="2:30" ht="30" customHeight="1" thickBot="1">
      <c r="B19" s="13"/>
      <c r="C19" s="11">
        <f>AD13+1</f>
        <v>45957</v>
      </c>
      <c r="D19" s="11">
        <f>C19+1</f>
        <v>45958</v>
      </c>
      <c r="E19" s="11">
        <f t="shared" ref="E19" si="82">D19+1</f>
        <v>45959</v>
      </c>
      <c r="F19" s="11">
        <f t="shared" ref="F19" si="83">E19+1</f>
        <v>45960</v>
      </c>
      <c r="G19" s="11">
        <f t="shared" ref="G19" si="84">F19+1</f>
        <v>45961</v>
      </c>
      <c r="H19" s="11">
        <f t="shared" ref="H19" si="85">G19+1</f>
        <v>45962</v>
      </c>
      <c r="I19" s="11">
        <f>H19+1</f>
        <v>45963</v>
      </c>
      <c r="J19" s="12">
        <f t="shared" ref="J19" si="86">I19+1</f>
        <v>45964</v>
      </c>
      <c r="K19" s="12">
        <f t="shared" ref="K19" si="87">J19+1</f>
        <v>45965</v>
      </c>
      <c r="L19" s="12">
        <f t="shared" ref="L19" si="88">K19+1</f>
        <v>45966</v>
      </c>
      <c r="M19" s="12">
        <f t="shared" ref="M19" si="89">L19+1</f>
        <v>45967</v>
      </c>
      <c r="N19" s="12">
        <f t="shared" ref="N19" si="90">M19+1</f>
        <v>45968</v>
      </c>
      <c r="O19" s="12">
        <f t="shared" ref="O19" si="91">N19+1</f>
        <v>45969</v>
      </c>
      <c r="P19" s="12">
        <f>O19+1</f>
        <v>45970</v>
      </c>
      <c r="Q19" s="11">
        <f t="shared" ref="Q19" si="92">P19+1</f>
        <v>45971</v>
      </c>
      <c r="R19" s="11">
        <f t="shared" ref="R19" si="93">Q19+1</f>
        <v>45972</v>
      </c>
      <c r="S19" s="11">
        <f t="shared" ref="S19" si="94">R19+1</f>
        <v>45973</v>
      </c>
      <c r="T19" s="11">
        <f t="shared" ref="T19" si="95">S19+1</f>
        <v>45974</v>
      </c>
      <c r="U19" s="11">
        <f t="shared" ref="U19" si="96">T19+1</f>
        <v>45975</v>
      </c>
      <c r="V19" s="11">
        <f t="shared" ref="V19" si="97">U19+1</f>
        <v>45976</v>
      </c>
      <c r="W19" s="11">
        <f t="shared" ref="W19" si="98">V19+1</f>
        <v>45977</v>
      </c>
      <c r="X19" s="12">
        <f t="shared" ref="X19" si="99">W19+1</f>
        <v>45978</v>
      </c>
      <c r="Y19" s="12">
        <f t="shared" ref="Y19" si="100">X19+1</f>
        <v>45979</v>
      </c>
      <c r="Z19" s="12">
        <f t="shared" ref="Z19" si="101">Y19+1</f>
        <v>45980</v>
      </c>
      <c r="AA19" s="12">
        <f t="shared" ref="AA19" si="102">Z19+1</f>
        <v>45981</v>
      </c>
      <c r="AB19" s="12">
        <f t="shared" ref="AB19" si="103">AA19+1</f>
        <v>45982</v>
      </c>
      <c r="AC19" s="12">
        <f t="shared" ref="AC19" si="104">AB19+1</f>
        <v>45983</v>
      </c>
      <c r="AD19" s="12">
        <f t="shared" ref="AD19" si="105">AC19+1</f>
        <v>45984</v>
      </c>
    </row>
    <row r="20" spans="2:30" ht="30" customHeight="1">
      <c r="B20" s="13" t="s">
        <v>2</v>
      </c>
      <c r="C20" s="26" t="s">
        <v>17</v>
      </c>
      <c r="D20" s="26"/>
      <c r="E20" s="26"/>
      <c r="F20" s="26"/>
      <c r="G20" s="26"/>
      <c r="H20" s="26"/>
      <c r="I20" s="26"/>
      <c r="J20" s="25" t="s">
        <v>19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33" t="s">
        <v>21</v>
      </c>
      <c r="Y20" s="33"/>
      <c r="Z20" s="33"/>
      <c r="AA20" s="33"/>
      <c r="AB20" s="33"/>
      <c r="AC20" s="33"/>
      <c r="AD20" s="33"/>
    </row>
    <row r="21" spans="2:30" ht="30" customHeight="1">
      <c r="B21" s="13" t="s">
        <v>3</v>
      </c>
      <c r="C21" s="23" t="s">
        <v>23</v>
      </c>
      <c r="D21" s="23"/>
      <c r="E21" s="23"/>
      <c r="F21" s="23"/>
      <c r="G21" s="23"/>
      <c r="H21" s="23"/>
      <c r="I21" s="23"/>
      <c r="J21" s="23"/>
      <c r="K21" s="23"/>
      <c r="L21" s="20" t="s">
        <v>25</v>
      </c>
      <c r="M21" s="20"/>
      <c r="N21" s="20"/>
      <c r="O21" s="20"/>
      <c r="P21" s="20"/>
      <c r="Q21" s="27" t="s">
        <v>20</v>
      </c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2:30" ht="30" customHeight="1">
      <c r="B22" s="13" t="s">
        <v>4</v>
      </c>
      <c r="C22" s="23" t="s">
        <v>23</v>
      </c>
      <c r="D22" s="23"/>
      <c r="E22" s="23"/>
      <c r="F22" s="23"/>
      <c r="G22" s="23"/>
      <c r="H22" s="23"/>
      <c r="I22" s="23"/>
      <c r="J22" s="23"/>
      <c r="K22" s="23"/>
      <c r="L22" s="20" t="s">
        <v>25</v>
      </c>
      <c r="M22" s="20"/>
      <c r="N22" s="20"/>
      <c r="O22" s="20"/>
      <c r="P22" s="20"/>
      <c r="Q22" s="35" t="s">
        <v>26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</row>
    <row r="23" spans="2:30" ht="30" customHeight="1">
      <c r="B23" s="13"/>
      <c r="C23" s="6" t="str">
        <f>LOWER(TEXT(C25, "m월"))</f>
        <v>11월</v>
      </c>
      <c r="D23" s="7" t="str">
        <f t="shared" ref="D23" si="106">IF(TEXT(D25,"m월")=TEXT(C25,"m월"),"",LOWER(TEXT(D25,"m월")))</f>
        <v/>
      </c>
      <c r="E23" s="7" t="str">
        <f t="shared" ref="E23" si="107">IF(TEXT(E25,"m월")=TEXT(D25,"m월"),"",LOWER(TEXT(E25,"m월")))</f>
        <v/>
      </c>
      <c r="F23" s="7" t="str">
        <f t="shared" ref="F23" si="108">IF(TEXT(F25,"m월")=TEXT(E25,"m월"),"",LOWER(TEXT(F25,"m월")))</f>
        <v/>
      </c>
      <c r="G23" s="7" t="str">
        <f t="shared" ref="G23" si="109">IF(TEXT(G25,"m월")=TEXT(F25,"m월"),"",LOWER(TEXT(G25,"m월")))</f>
        <v/>
      </c>
      <c r="H23" s="7" t="str">
        <f t="shared" ref="H23" si="110">IF(TEXT(H25,"m월")=TEXT(G25,"m월"),"",LOWER(TEXT(H25,"m월")))</f>
        <v/>
      </c>
      <c r="I23" s="7" t="str">
        <f>IF(TEXT(I25,"m월")=TEXT(H25,"m월"),"",LOWER(TEXT(I25,"m월")))</f>
        <v/>
      </c>
      <c r="J23" s="8" t="str">
        <f>LOWER(TEXT(J25,"m월"))</f>
        <v>12월</v>
      </c>
      <c r="K23" s="8" t="str">
        <f t="shared" ref="K23" si="111">IF(TEXT(K25,"m월")=TEXT(J25,"m월"),"",LOWER(TEXT(K25,"m월")))</f>
        <v/>
      </c>
      <c r="L23" s="8" t="str">
        <f t="shared" ref="L23" si="112">IF(TEXT(L25,"m월")=TEXT(K25,"m월"),"",LOWER(TEXT(L25,"m월")))</f>
        <v/>
      </c>
      <c r="M23" s="8" t="str">
        <f t="shared" ref="M23" si="113">IF(TEXT(M25,"m월")=TEXT(L25,"m월"),"",LOWER(TEXT(M25,"m월")))</f>
        <v/>
      </c>
      <c r="N23" s="8" t="str">
        <f t="shared" ref="N23" si="114">IF(TEXT(N25,"m월")=TEXT(M25,"m월"),"",LOWER(TEXT(N25,"m월")))</f>
        <v/>
      </c>
      <c r="O23" s="8" t="str">
        <f t="shared" ref="O23" si="115">IF(TEXT(O25,"m월")=TEXT(N25,"m월"),"",LOWER(TEXT(O25,"m월")))</f>
        <v/>
      </c>
      <c r="P23" s="8" t="str">
        <f>IF(TEXT(P25,"m월")=TEXT(O25,"m월"),"",LOWER(TEXT(P25,"m월")))</f>
        <v/>
      </c>
      <c r="Q23" s="7" t="str">
        <f>LOWER(TEXT(Q25,"m월"))</f>
        <v>12월</v>
      </c>
      <c r="R23" s="7" t="str">
        <f t="shared" ref="R23" si="116">IF(TEXT(R25,"m월")=TEXT(Q25,"m월"),"",LOWER(TEXT(R25,"m월")))</f>
        <v/>
      </c>
      <c r="S23" s="7" t="str">
        <f t="shared" ref="S23" si="117">IF(TEXT(S25,"m월")=TEXT(R25,"m월"),"",LOWER(TEXT(S25,"m월")))</f>
        <v/>
      </c>
      <c r="T23" s="7" t="str">
        <f t="shared" ref="T23" si="118">IF(TEXT(T25,"m월")=TEXT(S25,"m월"),"",LOWER(TEXT(T25,"m월")))</f>
        <v/>
      </c>
      <c r="U23" s="7" t="str">
        <f t="shared" ref="U23" si="119">IF(TEXT(U25,"m월")=TEXT(T25,"m월"),"",LOWER(TEXT(U25,"m월")))</f>
        <v/>
      </c>
      <c r="V23" s="7" t="str">
        <f t="shared" ref="V23" si="120">IF(TEXT(V25,"m월")=TEXT(U25,"m월"),"",LOWER(TEXT(V25,"m월")))</f>
        <v/>
      </c>
      <c r="W23" s="7" t="str">
        <f t="shared" ref="W23" si="121">IF(TEXT(W25,"m월")=TEXT(V25,"m월"),"",LOWER(TEXT(W25,"m월")))</f>
        <v/>
      </c>
      <c r="X23" s="8" t="str">
        <f>LOWER(TEXT(X25,"m월"))</f>
        <v>12월</v>
      </c>
      <c r="Y23" s="8" t="str">
        <f t="shared" ref="Y23" si="122">IF(TEXT(Y25,"m월")=TEXT(X25,"m월"),"",LOWER(TEXT(Y25,"m월")))</f>
        <v/>
      </c>
      <c r="Z23" s="8" t="str">
        <f t="shared" ref="Z23" si="123">IF(TEXT(Z25,"m월")=TEXT(Y25,"m월"),"",LOWER(TEXT(Z25,"m월")))</f>
        <v/>
      </c>
      <c r="AA23" s="8" t="str">
        <f t="shared" ref="AA23" si="124">IF(TEXT(AA25,"m월")=TEXT(Z25,"m월"),"",LOWER(TEXT(AA25,"m월")))</f>
        <v/>
      </c>
      <c r="AB23" s="8" t="str">
        <f t="shared" ref="AB23" si="125">IF(TEXT(AB25,"m월")=TEXT(AA25,"m월"),"",LOWER(TEXT(AB25,"m월")))</f>
        <v/>
      </c>
      <c r="AC23" s="8" t="str">
        <f t="shared" ref="AC23" si="126">IF(TEXT(AC25,"m월")=TEXT(AB25,"m월"),"",LOWER(TEXT(AC25,"m월")))</f>
        <v/>
      </c>
      <c r="AD23" s="8" t="str">
        <f t="shared" ref="AD23" si="127">IF(TEXT(AD25,"m월")=TEXT(AC25,"m월"),"",LOWER(TEXT(AD25,"m월")))</f>
        <v/>
      </c>
    </row>
    <row r="24" spans="2:30" ht="30" customHeight="1">
      <c r="B24" s="13"/>
      <c r="C24" s="9" t="str">
        <f>LOWER(TEXT(C25,"aaa"))</f>
        <v>월</v>
      </c>
      <c r="D24" s="9" t="str">
        <f t="shared" ref="D24:AD24" si="128">LOWER(TEXT(D25,"aaa"))</f>
        <v>화</v>
      </c>
      <c r="E24" s="9" t="str">
        <f t="shared" si="128"/>
        <v>수</v>
      </c>
      <c r="F24" s="9" t="str">
        <f t="shared" si="128"/>
        <v>목</v>
      </c>
      <c r="G24" s="9" t="str">
        <f t="shared" si="128"/>
        <v>금</v>
      </c>
      <c r="H24" s="9" t="str">
        <f t="shared" si="128"/>
        <v>토</v>
      </c>
      <c r="I24" s="9" t="str">
        <f t="shared" si="128"/>
        <v>일</v>
      </c>
      <c r="J24" s="10" t="str">
        <f t="shared" si="128"/>
        <v>월</v>
      </c>
      <c r="K24" s="10" t="str">
        <f t="shared" si="128"/>
        <v>화</v>
      </c>
      <c r="L24" s="10" t="str">
        <f t="shared" si="128"/>
        <v>수</v>
      </c>
      <c r="M24" s="10" t="str">
        <f t="shared" si="128"/>
        <v>목</v>
      </c>
      <c r="N24" s="10" t="str">
        <f t="shared" si="128"/>
        <v>금</v>
      </c>
      <c r="O24" s="10" t="str">
        <f t="shared" si="128"/>
        <v>토</v>
      </c>
      <c r="P24" s="10" t="str">
        <f t="shared" si="128"/>
        <v>일</v>
      </c>
      <c r="Q24" s="9" t="str">
        <f t="shared" si="128"/>
        <v>월</v>
      </c>
      <c r="R24" s="9" t="str">
        <f t="shared" si="128"/>
        <v>화</v>
      </c>
      <c r="S24" s="9" t="str">
        <f t="shared" si="128"/>
        <v>수</v>
      </c>
      <c r="T24" s="9" t="str">
        <f t="shared" si="128"/>
        <v>목</v>
      </c>
      <c r="U24" s="9" t="str">
        <f t="shared" si="128"/>
        <v>금</v>
      </c>
      <c r="V24" s="9" t="str">
        <f t="shared" si="128"/>
        <v>토</v>
      </c>
      <c r="W24" s="9" t="str">
        <f t="shared" si="128"/>
        <v>일</v>
      </c>
      <c r="X24" s="10" t="str">
        <f t="shared" si="128"/>
        <v>월</v>
      </c>
      <c r="Y24" s="10" t="str">
        <f t="shared" si="128"/>
        <v>화</v>
      </c>
      <c r="Z24" s="10" t="str">
        <f t="shared" si="128"/>
        <v>수</v>
      </c>
      <c r="AA24" s="10" t="str">
        <f t="shared" si="128"/>
        <v>목</v>
      </c>
      <c r="AB24" s="10" t="str">
        <f t="shared" si="128"/>
        <v>금</v>
      </c>
      <c r="AC24" s="10" t="str">
        <f t="shared" si="128"/>
        <v>토</v>
      </c>
      <c r="AD24" s="10" t="str">
        <f t="shared" si="128"/>
        <v>일</v>
      </c>
    </row>
    <row r="25" spans="2:30" ht="30" customHeight="1" thickBot="1">
      <c r="B25" s="13"/>
      <c r="C25" s="11">
        <f>AD19+1</f>
        <v>45985</v>
      </c>
      <c r="D25" s="11">
        <f>C25+1</f>
        <v>45986</v>
      </c>
      <c r="E25" s="11">
        <f t="shared" ref="E25" si="129">D25+1</f>
        <v>45987</v>
      </c>
      <c r="F25" s="11">
        <f t="shared" ref="F25" si="130">E25+1</f>
        <v>45988</v>
      </c>
      <c r="G25" s="11">
        <f t="shared" ref="G25" si="131">F25+1</f>
        <v>45989</v>
      </c>
      <c r="H25" s="11">
        <f t="shared" ref="H25" si="132">G25+1</f>
        <v>45990</v>
      </c>
      <c r="I25" s="11">
        <f>H25+1</f>
        <v>45991</v>
      </c>
      <c r="J25" s="12">
        <f t="shared" ref="J25" si="133">I25+1</f>
        <v>45992</v>
      </c>
      <c r="K25" s="12">
        <f t="shared" ref="K25" si="134">J25+1</f>
        <v>45993</v>
      </c>
      <c r="L25" s="12">
        <f t="shared" ref="L25" si="135">K25+1</f>
        <v>45994</v>
      </c>
      <c r="M25" s="12">
        <f t="shared" ref="M25" si="136">L25+1</f>
        <v>45995</v>
      </c>
      <c r="N25" s="12">
        <f t="shared" ref="N25" si="137">M25+1</f>
        <v>45996</v>
      </c>
      <c r="O25" s="12">
        <f t="shared" ref="O25" si="138">N25+1</f>
        <v>45997</v>
      </c>
      <c r="P25" s="12">
        <f>O25+1</f>
        <v>45998</v>
      </c>
      <c r="Q25" s="11">
        <f t="shared" ref="Q25" si="139">P25+1</f>
        <v>45999</v>
      </c>
      <c r="R25" s="11">
        <f t="shared" ref="R25" si="140">Q25+1</f>
        <v>46000</v>
      </c>
      <c r="S25" s="11">
        <f t="shared" ref="S25" si="141">R25+1</f>
        <v>46001</v>
      </c>
      <c r="T25" s="11">
        <f t="shared" ref="T25" si="142">S25+1</f>
        <v>46002</v>
      </c>
      <c r="U25" s="11">
        <f t="shared" ref="U25" si="143">T25+1</f>
        <v>46003</v>
      </c>
      <c r="V25" s="11">
        <f t="shared" ref="V25" si="144">U25+1</f>
        <v>46004</v>
      </c>
      <c r="W25" s="11">
        <f t="shared" ref="W25" si="145">V25+1</f>
        <v>46005</v>
      </c>
      <c r="X25" s="12">
        <f t="shared" ref="X25" si="146">W25+1</f>
        <v>46006</v>
      </c>
      <c r="Y25" s="12">
        <f t="shared" ref="Y25" si="147">X25+1</f>
        <v>46007</v>
      </c>
      <c r="Z25" s="12">
        <f t="shared" ref="Z25" si="148">Y25+1</f>
        <v>46008</v>
      </c>
      <c r="AA25" s="12">
        <f t="shared" ref="AA25" si="149">Z25+1</f>
        <v>46009</v>
      </c>
      <c r="AB25" s="12">
        <f t="shared" ref="AB25" si="150">AA25+1</f>
        <v>46010</v>
      </c>
      <c r="AC25" s="12">
        <f t="shared" ref="AC25" si="151">AB25+1</f>
        <v>46011</v>
      </c>
      <c r="AD25" s="12">
        <f t="shared" ref="AD25" si="152">AC25+1</f>
        <v>46012</v>
      </c>
    </row>
    <row r="26" spans="2:30" ht="30" customHeight="1" thickBot="1">
      <c r="B26" s="13" t="s">
        <v>2</v>
      </c>
      <c r="C26" s="25" t="s">
        <v>22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37" t="s">
        <v>28</v>
      </c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</row>
    <row r="27" spans="2:30" ht="30" customHeight="1" thickBot="1">
      <c r="B27" s="13" t="s">
        <v>3</v>
      </c>
      <c r="C27" s="34" t="s">
        <v>27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7" t="s">
        <v>28</v>
      </c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</row>
    <row r="28" spans="2:30" ht="30" customHeight="1">
      <c r="B28" s="13" t="s">
        <v>4</v>
      </c>
      <c r="C28" s="35" t="s">
        <v>26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7" t="s">
        <v>28</v>
      </c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</row>
    <row r="29" spans="2:30" ht="30" customHeight="1">
      <c r="B29" s="13"/>
      <c r="C29" s="6" t="str">
        <f>LOWER(TEXT(C31, "m월"))</f>
        <v>12월</v>
      </c>
      <c r="D29" s="7" t="str">
        <f t="shared" ref="D29" si="153">IF(TEXT(D31,"m월")=TEXT(C31,"m월"),"",LOWER(TEXT(D31,"m월")))</f>
        <v/>
      </c>
      <c r="E29" s="7" t="str">
        <f t="shared" ref="E29" si="154">IF(TEXT(E31,"m월")=TEXT(D31,"m월"),"",LOWER(TEXT(E31,"m월")))</f>
        <v/>
      </c>
      <c r="F29" s="7" t="str">
        <f t="shared" ref="F29" si="155">IF(TEXT(F31,"m월")=TEXT(E31,"m월"),"",LOWER(TEXT(F31,"m월")))</f>
        <v/>
      </c>
      <c r="G29" s="7" t="str">
        <f t="shared" ref="G29" si="156">IF(TEXT(G31,"m월")=TEXT(F31,"m월"),"",LOWER(TEXT(G31,"m월")))</f>
        <v/>
      </c>
      <c r="H29" s="7" t="str">
        <f t="shared" ref="H29" si="157">IF(TEXT(H31,"m월")=TEXT(G31,"m월"),"",LOWER(TEXT(H31,"m월")))</f>
        <v/>
      </c>
      <c r="I29" s="7" t="str">
        <f>IF(TEXT(I31,"m월")=TEXT(H31,"m월"),"",LOWER(TEXT(I31,"m월")))</f>
        <v/>
      </c>
      <c r="J29" s="8" t="str">
        <f>LOWER(TEXT(J31,"m월"))</f>
        <v>12월</v>
      </c>
      <c r="K29" s="8" t="str">
        <f t="shared" ref="K29" si="158">IF(TEXT(K31,"m월")=TEXT(J31,"m월"),"",LOWER(TEXT(K31,"m월")))</f>
        <v/>
      </c>
      <c r="L29" s="8" t="str">
        <f t="shared" ref="L29" si="159">IF(TEXT(L31,"m월")=TEXT(K31,"m월"),"",LOWER(TEXT(L31,"m월")))</f>
        <v/>
      </c>
      <c r="M29" s="8" t="str">
        <f t="shared" ref="M29" si="160">IF(TEXT(M31,"m월")=TEXT(L31,"m월"),"",LOWER(TEXT(M31,"m월")))</f>
        <v>1월</v>
      </c>
      <c r="N29" s="8" t="str">
        <f t="shared" ref="N29" si="161">IF(TEXT(N31,"m월")=TEXT(M31,"m월"),"",LOWER(TEXT(N31,"m월")))</f>
        <v/>
      </c>
      <c r="O29" s="8" t="str">
        <f t="shared" ref="O29" si="162">IF(TEXT(O31,"m월")=TEXT(N31,"m월"),"",LOWER(TEXT(O31,"m월")))</f>
        <v/>
      </c>
      <c r="P29" s="8" t="str">
        <f>IF(TEXT(P31,"m월")=TEXT(O31,"m월"),"",LOWER(TEXT(P31,"m월")))</f>
        <v/>
      </c>
      <c r="Q29" s="7" t="str">
        <f>LOWER(TEXT(Q31,"m월"))</f>
        <v>1월</v>
      </c>
      <c r="R29" s="7" t="str">
        <f t="shared" ref="R29" si="163">IF(TEXT(R31,"m월")=TEXT(Q31,"m월"),"",LOWER(TEXT(R31,"m월")))</f>
        <v/>
      </c>
      <c r="S29" s="7" t="str">
        <f t="shared" ref="S29" si="164">IF(TEXT(S31,"m월")=TEXT(R31,"m월"),"",LOWER(TEXT(S31,"m월")))</f>
        <v/>
      </c>
      <c r="T29" s="7" t="str">
        <f t="shared" ref="T29" si="165">IF(TEXT(T31,"m월")=TEXT(S31,"m월"),"",LOWER(TEXT(T31,"m월")))</f>
        <v/>
      </c>
      <c r="U29" s="7" t="str">
        <f t="shared" ref="U29" si="166">IF(TEXT(U31,"m월")=TEXT(T31,"m월"),"",LOWER(TEXT(U31,"m월")))</f>
        <v/>
      </c>
      <c r="V29" s="7" t="str">
        <f t="shared" ref="V29" si="167">IF(TEXT(V31,"m월")=TEXT(U31,"m월"),"",LOWER(TEXT(V31,"m월")))</f>
        <v/>
      </c>
      <c r="W29" s="7" t="str">
        <f t="shared" ref="W29" si="168">IF(TEXT(W31,"m월")=TEXT(V31,"m월"),"",LOWER(TEXT(W31,"m월")))</f>
        <v/>
      </c>
      <c r="X29" s="8" t="str">
        <f>LOWER(TEXT(X31,"m월"))</f>
        <v>1월</v>
      </c>
      <c r="Y29" s="8" t="str">
        <f t="shared" ref="Y29" si="169">IF(TEXT(Y31,"m월")=TEXT(X31,"m월"),"",LOWER(TEXT(Y31,"m월")))</f>
        <v/>
      </c>
      <c r="Z29" s="8" t="str">
        <f t="shared" ref="Z29" si="170">IF(TEXT(Z31,"m월")=TEXT(Y31,"m월"),"",LOWER(TEXT(Z31,"m월")))</f>
        <v/>
      </c>
      <c r="AA29" s="8" t="str">
        <f t="shared" ref="AA29" si="171">IF(TEXT(AA31,"m월")=TEXT(Z31,"m월"),"",LOWER(TEXT(AA31,"m월")))</f>
        <v/>
      </c>
      <c r="AB29" s="8" t="str">
        <f t="shared" ref="AB29" si="172">IF(TEXT(AB31,"m월")=TEXT(AA31,"m월"),"",LOWER(TEXT(AB31,"m월")))</f>
        <v/>
      </c>
      <c r="AC29" s="8" t="str">
        <f t="shared" ref="AC29" si="173">IF(TEXT(AC31,"m월")=TEXT(AB31,"m월"),"",LOWER(TEXT(AC31,"m월")))</f>
        <v/>
      </c>
      <c r="AD29" s="8" t="str">
        <f t="shared" ref="AD29" si="174">IF(TEXT(AD31,"m월")=TEXT(AC31,"m월"),"",LOWER(TEXT(AD31,"m월")))</f>
        <v/>
      </c>
    </row>
    <row r="30" spans="2:30" ht="30" customHeight="1">
      <c r="B30" s="13"/>
      <c r="C30" s="9" t="str">
        <f>LOWER(TEXT(C31,"aaa"))</f>
        <v>월</v>
      </c>
      <c r="D30" s="9" t="str">
        <f t="shared" ref="D30:AD30" si="175">LOWER(TEXT(D31,"aaa"))</f>
        <v>화</v>
      </c>
      <c r="E30" s="9" t="str">
        <f t="shared" si="175"/>
        <v>수</v>
      </c>
      <c r="F30" s="9" t="str">
        <f t="shared" si="175"/>
        <v>목</v>
      </c>
      <c r="G30" s="9" t="str">
        <f t="shared" si="175"/>
        <v>금</v>
      </c>
      <c r="H30" s="9" t="str">
        <f t="shared" si="175"/>
        <v>토</v>
      </c>
      <c r="I30" s="9" t="str">
        <f t="shared" si="175"/>
        <v>일</v>
      </c>
      <c r="J30" s="10" t="str">
        <f t="shared" si="175"/>
        <v>월</v>
      </c>
      <c r="K30" s="10" t="str">
        <f t="shared" si="175"/>
        <v>화</v>
      </c>
      <c r="L30" s="10" t="str">
        <f t="shared" si="175"/>
        <v>수</v>
      </c>
      <c r="M30" s="10" t="str">
        <f t="shared" si="175"/>
        <v>목</v>
      </c>
      <c r="N30" s="10" t="str">
        <f t="shared" si="175"/>
        <v>금</v>
      </c>
      <c r="O30" s="10" t="str">
        <f t="shared" si="175"/>
        <v>토</v>
      </c>
      <c r="P30" s="10" t="str">
        <f t="shared" si="175"/>
        <v>일</v>
      </c>
      <c r="Q30" s="9" t="str">
        <f t="shared" si="175"/>
        <v>월</v>
      </c>
      <c r="R30" s="9" t="str">
        <f t="shared" si="175"/>
        <v>화</v>
      </c>
      <c r="S30" s="9" t="str">
        <f t="shared" si="175"/>
        <v>수</v>
      </c>
      <c r="T30" s="9" t="str">
        <f t="shared" si="175"/>
        <v>목</v>
      </c>
      <c r="U30" s="9" t="str">
        <f t="shared" si="175"/>
        <v>금</v>
      </c>
      <c r="V30" s="9" t="str">
        <f t="shared" si="175"/>
        <v>토</v>
      </c>
      <c r="W30" s="9" t="str">
        <f t="shared" si="175"/>
        <v>일</v>
      </c>
      <c r="X30" s="10" t="str">
        <f t="shared" si="175"/>
        <v>월</v>
      </c>
      <c r="Y30" s="10" t="str">
        <f t="shared" si="175"/>
        <v>화</v>
      </c>
      <c r="Z30" s="10" t="str">
        <f t="shared" si="175"/>
        <v>수</v>
      </c>
      <c r="AA30" s="10" t="str">
        <f t="shared" si="175"/>
        <v>목</v>
      </c>
      <c r="AB30" s="10" t="str">
        <f t="shared" si="175"/>
        <v>금</v>
      </c>
      <c r="AC30" s="10" t="str">
        <f t="shared" si="175"/>
        <v>토</v>
      </c>
      <c r="AD30" s="10" t="str">
        <f t="shared" si="175"/>
        <v>일</v>
      </c>
    </row>
    <row r="31" spans="2:30" ht="30" customHeight="1" thickBot="1">
      <c r="B31" s="13"/>
      <c r="C31" s="11">
        <f>AD25+1</f>
        <v>46013</v>
      </c>
      <c r="D31" s="11">
        <f>C31+1</f>
        <v>46014</v>
      </c>
      <c r="E31" s="11">
        <f t="shared" ref="E31" si="176">D31+1</f>
        <v>46015</v>
      </c>
      <c r="F31" s="11">
        <f t="shared" ref="F31" si="177">E31+1</f>
        <v>46016</v>
      </c>
      <c r="G31" s="11">
        <f t="shared" ref="G31" si="178">F31+1</f>
        <v>46017</v>
      </c>
      <c r="H31" s="11">
        <f t="shared" ref="H31" si="179">G31+1</f>
        <v>46018</v>
      </c>
      <c r="I31" s="11">
        <f>H31+1</f>
        <v>46019</v>
      </c>
      <c r="J31" s="12">
        <f t="shared" ref="J31" si="180">I31+1</f>
        <v>46020</v>
      </c>
      <c r="K31" s="12">
        <f t="shared" ref="K31" si="181">J31+1</f>
        <v>46021</v>
      </c>
      <c r="L31" s="12">
        <f t="shared" ref="L31" si="182">K31+1</f>
        <v>46022</v>
      </c>
      <c r="M31" s="12">
        <f t="shared" ref="M31" si="183">L31+1</f>
        <v>46023</v>
      </c>
      <c r="N31" s="12">
        <f t="shared" ref="N31" si="184">M31+1</f>
        <v>46024</v>
      </c>
      <c r="O31" s="12">
        <f t="shared" ref="O31" si="185">N31+1</f>
        <v>46025</v>
      </c>
      <c r="P31" s="12">
        <f>O31+1</f>
        <v>46026</v>
      </c>
      <c r="Q31" s="11">
        <f t="shared" ref="Q31" si="186">P31+1</f>
        <v>46027</v>
      </c>
      <c r="R31" s="11">
        <f t="shared" ref="R31" si="187">Q31+1</f>
        <v>46028</v>
      </c>
      <c r="S31" s="11">
        <f t="shared" ref="S31" si="188">R31+1</f>
        <v>46029</v>
      </c>
      <c r="T31" s="11">
        <f t="shared" ref="T31" si="189">S31+1</f>
        <v>46030</v>
      </c>
      <c r="U31" s="11">
        <f t="shared" ref="U31" si="190">T31+1</f>
        <v>46031</v>
      </c>
      <c r="V31" s="11">
        <f t="shared" ref="V31" si="191">U31+1</f>
        <v>46032</v>
      </c>
      <c r="W31" s="11">
        <f t="shared" ref="W31" si="192">V31+1</f>
        <v>46033</v>
      </c>
      <c r="X31" s="12">
        <f t="shared" ref="X31" si="193">W31+1</f>
        <v>46034</v>
      </c>
      <c r="Y31" s="12">
        <f t="shared" ref="Y31" si="194">X31+1</f>
        <v>46035</v>
      </c>
      <c r="Z31" s="12">
        <f t="shared" ref="Z31" si="195">Y31+1</f>
        <v>46036</v>
      </c>
      <c r="AA31" s="12">
        <f t="shared" ref="AA31" si="196">Z31+1</f>
        <v>46037</v>
      </c>
      <c r="AB31" s="12">
        <f t="shared" ref="AB31" si="197">AA31+1</f>
        <v>46038</v>
      </c>
      <c r="AC31" s="12">
        <f t="shared" ref="AC31" si="198">AB31+1</f>
        <v>46039</v>
      </c>
      <c r="AD31" s="12">
        <f t="shared" ref="AD31" si="199">AC31+1</f>
        <v>46040</v>
      </c>
    </row>
  </sheetData>
  <mergeCells count="34">
    <mergeCell ref="C28:P28"/>
    <mergeCell ref="Q27:AD27"/>
    <mergeCell ref="Q28:AD28"/>
    <mergeCell ref="Q21:AD21"/>
    <mergeCell ref="X20:AD20"/>
    <mergeCell ref="C27:P27"/>
    <mergeCell ref="C21:K21"/>
    <mergeCell ref="C22:K22"/>
    <mergeCell ref="L21:P21"/>
    <mergeCell ref="L22:P22"/>
    <mergeCell ref="Q22:AD22"/>
    <mergeCell ref="C26:P26"/>
    <mergeCell ref="Q26:AD26"/>
    <mergeCell ref="C20:I20"/>
    <mergeCell ref="X14:AD14"/>
    <mergeCell ref="J14:W14"/>
    <mergeCell ref="J20:W20"/>
    <mergeCell ref="C16:P16"/>
    <mergeCell ref="Q16:AD16"/>
    <mergeCell ref="C8:I8"/>
    <mergeCell ref="J8:W8"/>
    <mergeCell ref="X8:AD8"/>
    <mergeCell ref="C15:P15"/>
    <mergeCell ref="Q15:AD15"/>
    <mergeCell ref="C9:P9"/>
    <mergeCell ref="Q9:W9"/>
    <mergeCell ref="X9:AD9"/>
    <mergeCell ref="C14:I14"/>
    <mergeCell ref="B1:AD1"/>
    <mergeCell ref="C2:E2"/>
    <mergeCell ref="C7:I7"/>
    <mergeCell ref="J7:P7"/>
    <mergeCell ref="Q7:W7"/>
    <mergeCell ref="X7:AD7"/>
  </mergeCells>
  <phoneticPr fontId="20" type="noConversion"/>
  <conditionalFormatting sqref="C5:AD6">
    <cfRule type="expression" dxfId="4" priority="7">
      <formula>C$6=TODAY()</formula>
    </cfRule>
  </conditionalFormatting>
  <conditionalFormatting sqref="C12:AD13">
    <cfRule type="expression" dxfId="3" priority="6">
      <formula>C$6=TODAY()</formula>
    </cfRule>
  </conditionalFormatting>
  <conditionalFormatting sqref="C18:AD19">
    <cfRule type="expression" dxfId="2" priority="5">
      <formula>C$6=TODAY()</formula>
    </cfRule>
  </conditionalFormatting>
  <conditionalFormatting sqref="C24:AD25">
    <cfRule type="expression" dxfId="1" priority="4">
      <formula>C$6=TODAY()</formula>
    </cfRule>
  </conditionalFormatting>
  <conditionalFormatting sqref="C30:AD31">
    <cfRule type="expression" dxfId="0" priority="3">
      <formula>C$6=TODAY()</formula>
    </cfRule>
  </conditionalFormatting>
  <dataValidations count="7">
    <dataValidation allowBlank="1" showInputMessage="1" showErrorMessage="1" prompt="이 워크시트에서 프로젝트 시간 표시 막대를 만듭니다. C2 셀에서 시작 날짜를 입력하고 기타 세부 정보를 B4 셀에서 시작합니다." sqref="A1" xr:uid="{00000000-0002-0000-0000-000000000000}"/>
    <dataValidation allowBlank="1" showInputMessage="1" showErrorMessage="1" prompt="오른쪽 셀에 시작 날짜를 입력합니다." sqref="B2" xr:uid="{00000000-0002-0000-0000-000001000000}"/>
    <dataValidation allowBlank="1" showInputMessage="1" showErrorMessage="1" prompt="이 셀에 시작 날짜를 입력합니다." sqref="C2:E2" xr:uid="{00000000-0002-0000-0000-000002000000}"/>
    <dataValidation allowBlank="1" showInputMessage="1" showErrorMessage="1" prompt="이 셀에는 이 워크시트의 제목이 표시됩니다." sqref="B1:AD1" xr:uid="{00000000-0002-0000-0000-000003000000}"/>
    <dataValidation allowBlank="1" showInputMessage="1" showErrorMessage="1" prompt="요일이 이 행에서 자동으로 업데이트됩니다. 아래에 있는 셀에 담당자 이름을 입력하고 이름 오른쪽에 있는 행에 작업을 입력합니다." sqref="B6" xr:uid="{00000000-0002-0000-0000-000004000000}"/>
    <dataValidation allowBlank="1" showInputMessage="1" showErrorMessage="1" prompt="월이 이 행에서 자동으로 업데이트됩니다." sqref="B4" xr:uid="{00000000-0002-0000-0000-000007000000}"/>
    <dataValidation allowBlank="1" showInputMessage="1" showErrorMessage="1" prompt="평일이 이 행에서 자동으로 업데이트됩니다." sqref="B5" xr:uid="{00000000-0002-0000-0000-000008000000}"/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ignoredErrors>
    <ignoredError sqref="J4 Q4 X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프로젝트 시간 표시 막대</vt:lpstr>
      <vt:lpstr>'프로젝트 시간 표시 막대'!Print_Titles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2019-05-17T03:36:33Z</dcterms:created>
  <dcterms:modified xsi:type="dcterms:W3CDTF">2025-09-07T13:26:09Z</dcterms:modified>
</cp:coreProperties>
</file>